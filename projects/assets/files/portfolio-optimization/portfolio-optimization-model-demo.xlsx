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eab86388714fa5" /></Relationships>
</file>

<file path=xl/workbook.xml><?xml version="1.0" encoding="utf-8"?>
<x:workbook xmlns:x="http://schemas.openxmlformats.org/spreadsheetml/2006/main">
  <x:sheets>
    <x:sheet xmlns:r="http://schemas.openxmlformats.org/officeDocument/2006/relationships" name="README" sheetId="1" r:id="Re3a39b10c7df4fbb"/>
    <x:sheet xmlns:r="http://schemas.openxmlformats.org/officeDocument/2006/relationships" name="Portfolio Summary" sheetId="2" r:id="R0dc4685bcc724f0e"/>
    <x:sheet xmlns:r="http://schemas.openxmlformats.org/officeDocument/2006/relationships" name="Efficient Frontier" sheetId="3" r:id="R24365f5284c44aae"/>
    <x:sheet xmlns:r="http://schemas.openxmlformats.org/officeDocument/2006/relationships" name="Allocations" sheetId="4" r:id="Rc787de5fd04b45be"/>
    <x:sheet xmlns:r="http://schemas.openxmlformats.org/officeDocument/2006/relationships" name="Forecast Comparison" sheetId="5" r:id="R0710849d368a4fc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00"/>
    <x:numFmt numFmtId="202" formatCode="0.00"/>
  </x:numFmts>
  <x:fonts count="3">
    <x:font>
      <x:sz val="11"/>
      <x:name val="Carlito"/>
    </x:font>
    <x:font>
      <x:b/>
      <x:sz val="16"/>
      <x:color rgb="1F4E79"/>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b084ba14554abc" /><Relationship Type="http://schemas.openxmlformats.org/officeDocument/2006/relationships/theme" Target="/xl/theme/theme1.xml" Id="Rce9b79fbb1024350" /><Relationship Type="http://schemas.openxmlformats.org/officeDocument/2006/relationships/sharedStrings" Target="/xl/sharedStrings.xml" Id="Rcad47624cf744b06" /><Relationship Type="http://schemas.openxmlformats.org/officeDocument/2006/relationships/worksheet" Target="/xl/worksheets/sheet1.xml" Id="Re3a39b10c7df4fbb" /><Relationship Type="http://schemas.openxmlformats.org/officeDocument/2006/relationships/worksheet" Target="/xl/worksheets/sheet2.xml" Id="R0dc4685bcc724f0e" /><Relationship Type="http://schemas.openxmlformats.org/officeDocument/2006/relationships/worksheet" Target="/xl/worksheets/sheet3.xml" Id="R24365f5284c44aae" /><Relationship Type="http://schemas.openxmlformats.org/officeDocument/2006/relationships/worksheet" Target="/xl/worksheets/sheet4.xml" Id="Rc787de5fd04b45be" /><Relationship Type="http://schemas.openxmlformats.org/officeDocument/2006/relationships/worksheet" Target="/xl/worksheets/sheet5.xml" Id="R0710849d368a4fcd" /></Relationships>
</file>

<file path=xl/tables/table1.xml><?xml version="1.0" encoding="utf-8"?>
<x:table xmlns:x="http://schemas.openxmlformats.org/spreadsheetml/2006/main" id="1" name="PortfolioSummaryTable" displayName="PortfolioSummaryTable" ref="A1:G5" headerRowCount="1">
  <x:tableColumns count="7">
    <x:tableColumn id="1" name="Model"/>
    <x:tableColumn id="2" name="Risk Aversion (r)"/>
    <x:tableColumn id="3" name="Expected Return"/>
    <x:tableColumn id="4" name="Variance"/>
    <x:tableColumn id="5" name="Std. Deviation"/>
    <x:tableColumn id="6" name="Weighted Objective"/>
    <x:tableColumn id="7" name="Notes"/>
  </x:tableColumns>
  <x:tableStyleInfo name="TableStyleMedium2" showRowStripes="1"/>
</x:table>
</file>

<file path=xl/tables/table2.xml><?xml version="1.0" encoding="utf-8"?>
<x:table xmlns:x="http://schemas.openxmlformats.org/spreadsheetml/2006/main" id="2" name="EfficientFrontierTable" displayName="EfficientFrontierTable" ref="A1:E12" headerRowCount="1">
  <x:tableColumns count="5">
    <x:tableColumn id="1" name="r-value"/>
    <x:tableColumn id="2" name="Expected Return"/>
    <x:tableColumn id="3" name="Variance"/>
    <x:tableColumn id="4" name="Std. Deviation"/>
    <x:tableColumn id="5" name="Weighted Objective"/>
  </x:tableColumns>
  <x:tableStyleInfo name="TableStyleMedium2" showRowStripes="1"/>
</x:table>
</file>

<file path=xl/tables/table3.xml><?xml version="1.0" encoding="utf-8"?>
<x:table xmlns:x="http://schemas.openxmlformats.org/spreadsheetml/2006/main" id="3" name="AllocationTable" displayName="AllocationTable" ref="A1:E14" headerRowCount="1">
  <x:tableColumns count="5">
    <x:tableColumn id="1" name="Ticker"/>
    <x:tableColumn id="2" name="Base minimum-variance"/>
    <x:tableColumn id="3" name="Constrained portfolio"/>
    <x:tableColumn id="4" name="Moderate risk tolerance"/>
    <x:tableColumn id="5" name="Greater risk aversion"/>
  </x:tableColumns>
  <x:tableStyleInfo name="TableStyleMedium2" showRowStripes="1"/>
</x:table>
</file>

<file path=xl/tables/table4.xml><?xml version="1.0" encoding="utf-8"?>
<x:table xmlns:x="http://schemas.openxmlformats.org/spreadsheetml/2006/main" id="4" name="ForecastComparisonTable" displayName="ForecastComparisonTable" ref="A1:D4" headerRowCount="1">
  <x:tableColumns count="4">
    <x:tableColumn id="1" name="Forecasting method"/>
    <x:tableColumn id="2" name="MSE"/>
    <x:tableColumn id="3" name="Relative rank"/>
    <x:tableColumn id="4" name="Interpreta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1c784e6c4be4f5b" /></Relationships>
</file>

<file path=xl/worksheets/_rels/sheet3.xml.rels>&#65279;<?xml version="1.0" encoding="utf-8"?><Relationships xmlns="http://schemas.openxmlformats.org/package/2006/relationships"><Relationship Type="http://schemas.openxmlformats.org/officeDocument/2006/relationships/table" Target="/xl/tables/table2.xml" Id="R42faf9eb4dbf4a3d" /></Relationships>
</file>

<file path=xl/worksheets/_rels/sheet4.xml.rels>&#65279;<?xml version="1.0" encoding="utf-8"?><Relationships xmlns="http://schemas.openxmlformats.org/package/2006/relationships"><Relationship Type="http://schemas.openxmlformats.org/officeDocument/2006/relationships/table" Target="/xl/tables/table3.xml" Id="R85390a30aaa54c49" /></Relationships>
</file>

<file path=xl/worksheets/_rels/sheet5.xml.rels>&#65279;<?xml version="1.0" encoding="utf-8"?><Relationships xmlns="http://schemas.openxmlformats.org/package/2006/relationships"><Relationship Type="http://schemas.openxmlformats.org/officeDocument/2006/relationships/table" Target="/xl/tables/table4.xml" Id="Ra53bcba1ac9646af" /></Relationships>
</file>

<file path=xl/worksheets/sheet1.xml><?xml version="1.0" encoding="utf-8"?>
<x:worksheet xmlns:x="http://schemas.openxmlformats.org/spreadsheetml/2006/main">
  <x:sheetFormatPr defaultRowHeight="15"/>
  <x:cols>
    <x:col min="1" max="1" width="95" hidden="0" customWidth="1"/>
  </x:cols>
  <x:sheetData>
    <x:row r="1">
      <x:c r="A1" s="4" t="str">
        <x:v>Portfolio Optimization and Stock Price Forecasting - Model Demo Workbook</x:v>
      </x:c>
      <x:c r="B1" s="2"/>
      <x:c r="C1" s="2"/>
      <x:c r="D1" s="2"/>
      <x:c r="E1" s="2"/>
      <x:c r="F1" s="2"/>
      <x:c r="G1" s="2"/>
      <x:c r="H1" s="2"/>
      <x:c r="I1" s="2"/>
      <x:c r="J1" s="2"/>
      <x:c r="K1" s="2"/>
      <x:c r="L1" s="2"/>
      <x:c r="M1" s="2"/>
      <x:c r="N1" s="2"/>
      <x:c r="O1" s="2"/>
      <x:c r="P1" s="2"/>
      <x:c r="Q1" s="2"/>
      <x:c r="R1" s="2"/>
      <x:c r="S1" s="2"/>
      <x:c r="T1" s="2"/>
      <x:c r="U1" s="2"/>
      <x:c r="V1" s="2"/>
      <x:c r="W1" s="2"/>
      <x:c r="X1" s="2"/>
      <x:c r="Y1" s="2"/>
      <x:c r="Z1" s="2"/>
    </x:row>
    <x:row r="3">
      <x:c r="A3" t="str">
        <x:v>Purpose</x:v>
      </x:c>
    </x:row>
    <x:row r="4">
      <x:c r="A4" t="str">
        <x:v>This public portfolio workbook summarizes the optimization and forecasting outputs from a DSCI-428 Prescriptive Analytics group project. It is a cleaned demonstration workbook, not the original class workbook.</x:v>
      </x:c>
    </x:row>
    <x:row r="6">
      <x:c r="A6" t="str">
        <x:v>Source note</x:v>
      </x:c>
    </x:row>
    <x:row r="7">
      <x:c r="A7" t="str">
        <x:v>Historical stock-price data were originally collected through Bloomberg Terminal for classroom use. Raw Bloomberg export tabs and full historical price tables are not included here.</x:v>
      </x:c>
    </x:row>
    <x:row r="9">
      <x:c r="A9" t="str">
        <x:v>Project scope</x:v>
      </x:c>
    </x:row>
    <x:row r="10">
      <x:c r="A10" t="str">
        <x:v>- Mean-variance portfolio optimization</x:v>
      </x:c>
    </x:row>
    <x:row r="11">
      <x:c r="A11" t="str">
        <x:v>- Efficient frontier and risk-aversion scenarios</x:v>
      </x:c>
    </x:row>
    <x:row r="12">
      <x:c r="A12" t="str">
        <x:v>- Diversification constraints: max 25% allocation per stock and at least seven active positions</x:v>
      </x:c>
    </x:row>
    <x:row r="13">
      <x:c r="A13" t="str">
        <x:v>- META forecasting comparison using moving-average and exponential-smoothing approaches</x:v>
      </x:c>
    </x:row>
    <x:row r="14">
      <x:c r="A14" t="str">
        <x:v>- Public-facing summary of outputs only</x:v>
      </x:c>
    </x:row>
    <x:row r="15">
      <x:c r="A15" t="str">
        <x:v>- Tickers included: META, XOM, NVDA, KO, CAT, EXC, UNH, FCX, GS, AMT, HD</x:v>
      </x:c>
    </x:row>
    <x:row r="17">
      <x:c r="A17" t="str">
        <x:v>Portfolio site note</x:v>
      </x:c>
    </x:row>
    <x:row r="18">
      <x:c r="A18" t="str">
        <x:v>The original workbook contained raw data and classroom working tabs. This version keeps the model outputs that are most useful for portfolio review while avoiding redistribution of raw licensed data exports.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2.789999961853027" hidden="0" customWidth="1"/>
    <x:col min="3" max="3" width="13.1899995803833" hidden="0" customWidth="1"/>
    <x:col min="4" max="4" width="10.359999656677246" hidden="0" customWidth="1"/>
    <x:col min="5" max="5" width="11.039999961853027" hidden="0" customWidth="1"/>
    <x:col min="6" max="6" width="15.75" hidden="0" customWidth="1"/>
    <x:col min="7" max="7" width="48" hidden="0" customWidth="1"/>
  </x:cols>
  <x:sheetData>
    <x:row r="1">
      <x:c r="A1" s="9" t="str">
        <x:v>Model</x:v>
      </x:c>
      <x:c r="B1" s="9" t="str">
        <x:v>Risk Aversion (r)</x:v>
      </x:c>
      <x:c r="C1" s="9" t="str">
        <x:v>Expected Return</x:v>
      </x:c>
      <x:c r="D1" s="9" t="str">
        <x:v>Variance</x:v>
      </x:c>
      <x:c r="E1" s="9" t="str">
        <x:v>Std. Deviation</x:v>
      </x:c>
      <x:c r="F1" s="9" t="str">
        <x:v>Weighted Objective</x:v>
      </x:c>
      <x:c r="G1" s="9" t="str">
        <x:v>Notes</x:v>
      </x:c>
      <x:c r="H1" s="9"/>
      <x:c r="I1" s="9"/>
      <x:c r="J1" s="9"/>
      <x:c r="K1" s="9"/>
      <x:c r="L1" s="9"/>
      <x:c r="M1" s="9"/>
      <x:c r="N1" s="9"/>
      <x:c r="O1" s="9"/>
      <x:c r="P1" s="9"/>
      <x:c r="Q1" s="9"/>
      <x:c r="R1" s="9"/>
      <x:c r="S1" s="9"/>
      <x:c r="T1" s="9"/>
      <x:c r="U1" s="9"/>
      <x:c r="V1" s="9"/>
      <x:c r="W1" s="9"/>
      <x:c r="X1" s="9"/>
      <x:c r="Y1" s="9"/>
      <x:c r="Z1" s="9"/>
    </x:row>
    <x:row r="2">
      <x:c r="A2" t="str">
        <x:v>Base minimum-variance</x:v>
      </x:c>
      <x:c r="B2"/>
      <x:c r="C2" s="14" t="n">
        <x:v>0.20468771060626567</x:v>
      </x:c>
      <x:c r="D2" s="16" t="n">
        <x:v>0.0010492500902237571</x:v>
      </x:c>
      <x:c r="E2" s="14" t="n">
        <x:f>SQRT(D2)</x:f>
        <x:v>0.032392130066171275</x:v>
      </x:c>
      <x:c r="F2" s="16" t="str">
        <x:f>IF(B2="","",C2-B2*D2)</x:f>
      </x:c>
      <x:c r="G2" t="str">
        <x:v>Meets required expected return with minimum variance objective</x:v>
      </x:c>
    </x:row>
    <x:row r="3">
      <x:c r="A3" t="str">
        <x:v>Constrained portfolio</x:v>
      </x:c>
      <x:c r="B3"/>
      <x:c r="C3" s="14" t="n">
        <x:v>0.2046877106062657</x:v>
      </x:c>
      <x:c r="D3" s="16" t="n">
        <x:v>0.002965524633121216</x:v>
      </x:c>
      <x:c r="E3" s="14" t="n">
        <x:f>SQRT(D3)</x:f>
        <x:v>0.054456630754401394</x:v>
      </x:c>
      <x:c r="F3" s="16" t="str">
        <x:f>IF(B3="","",C3-B3*D3)</x:f>
      </x:c>
      <x:c r="G3" t="str">
        <x:v>Adds max 25% allocation and minimum 7 active holdings</x:v>
      </x:c>
    </x:row>
    <x:row r="4">
      <x:c r="A4" t="str">
        <x:v>Moderate risk tolerance</x:v>
      </x:c>
      <x:c r="B4" t="n">
        <x:v>2</x:v>
      </x:c>
      <x:c r="C4" s="14" t="n">
        <x:v>0.3938791388352373</x:v>
      </x:c>
      <x:c r="D4" s="16" t="n">
        <x:v>0.03975026595455672</x:v>
      </x:c>
      <x:c r="E4" s="14" t="n">
        <x:f>SQRT(D4)</x:f>
        <x:v>0.19937468734660554</x:v>
      </x:c>
      <x:c r="F4" s="16" t="n">
        <x:f>IF(B4="","",C4-B4*D4)</x:f>
        <x:v>0.31437860692612385</x:v>
      </x:c>
      <x:c r="G4" t="str">
        <x:v>Selected r=2: higher expected return with materially higher volatility</x:v>
      </x:c>
    </x:row>
    <x:row r="5">
      <x:c r="A5" t="str">
        <x:v>Greater risk aversion</x:v>
      </x:c>
      <x:c r="B5" t="n">
        <x:v>8</x:v>
      </x:c>
      <x:c r="C5" s="14" t="n">
        <x:v>0.2660202784430866</x:v>
      </x:c>
      <x:c r="D5" s="16" t="n">
        <x:v>0.007838239897141098</x:v>
      </x:c>
      <x:c r="E5" s="14" t="n">
        <x:f>SQRT(D5)</x:f>
        <x:v>0.08853383475904056</x:v>
      </x:c>
      <x:c r="F5" s="16" t="n">
        <x:f>IF(B5="","",C5-B5*D5)</x:f>
        <x:v>0.20331435926595784</x:v>
      </x:c>
      <x:c r="G5" t="str">
        <x:v>Selected r=8: lower volatility while maintaining positive expected return</x:v>
      </x:c>
    </x:row>
  </x:sheetData>
  <x:pageMargins left="0.7" right="0.7" top="0.75" bottom="0.75" header="0.3" footer="0.3"/>
  <x:tableParts count="1">
    <x:tablePart xmlns:r="http://schemas.openxmlformats.org/officeDocument/2006/relationships" r:id="Rf1c784e6c4be4f5b"/>
  </x:tableParts>
</x:worksheet>
</file>

<file path=xl/worksheets/sheet3.xml><?xml version="1.0" encoding="utf-8"?>
<x:worksheet xmlns:x="http://schemas.openxmlformats.org/spreadsheetml/2006/main">
  <x:sheetFormatPr defaultRowHeight="15"/>
  <x:cols>
    <x:col min="1" max="1" width="5.380000114440918" hidden="0" customWidth="1"/>
    <x:col min="2" max="2" width="13.1899995803833" hidden="0" customWidth="1"/>
    <x:col min="3" max="3" width="10.359999656677246" hidden="0" customWidth="1"/>
    <x:col min="4" max="4" width="11.039999961853027" hidden="0" customWidth="1"/>
    <x:col min="5" max="5" width="15.75" hidden="0" customWidth="1"/>
    <x:col min="7" max="7" width="45" hidden="0" customWidth="1"/>
  </x:cols>
  <x:sheetData>
    <x:row r="1">
      <x:c r="A1" s="9" t="str">
        <x:v>r-value</x:v>
      </x:c>
      <x:c r="B1" s="9" t="str">
        <x:v>Expected Return</x:v>
      </x:c>
      <x:c r="C1" s="9" t="str">
        <x:v>Variance</x:v>
      </x:c>
      <x:c r="D1" s="9" t="str">
        <x:v>Std. Deviation</x:v>
      </x:c>
      <x:c r="E1" s="9" t="str">
        <x:v>Weighted Objective</x:v>
      </x:c>
      <x:c r="F1" s="9"/>
      <x:c r="G1" s="9" t="str">
        <x:v>Interpretation</x:v>
      </x:c>
      <x:c r="H1" s="9"/>
      <x:c r="I1" s="9"/>
      <x:c r="J1" s="9"/>
      <x:c r="K1" s="9"/>
      <x:c r="L1" s="9"/>
      <x:c r="M1" s="9"/>
      <x:c r="N1" s="9"/>
      <x:c r="O1" s="9"/>
      <x:c r="P1" s="9"/>
      <x:c r="Q1" s="9"/>
      <x:c r="R1" s="9"/>
      <x:c r="S1" s="9"/>
      <x:c r="T1" s="9"/>
      <x:c r="U1" s="9"/>
      <x:c r="V1" s="9"/>
      <x:c r="W1" s="9"/>
      <x:c r="X1" s="9"/>
      <x:c r="Y1" s="9"/>
      <x:c r="Z1" s="9"/>
    </x:row>
    <x:row r="2">
      <x:c r="A2" t="n">
        <x:v>0.5</x:v>
      </x:c>
      <x:c r="B2" s="14" t="n">
        <x:v>0.4091006844230809</x:v>
      </x:c>
      <x:c r="C2" s="16" t="n">
        <x:v>0.06362352780300777</x:v>
      </x:c>
      <x:c r="D2" s="14" t="n">
        <x:f>SQRT(C2)</x:f>
        <x:v>0.25223704684880804</x:v>
      </x:c>
      <x:c r="E2" s="16" t="n">
        <x:f>B2-A2*C2</x:f>
        <x:v>0.37728892052157703</x:v>
      </x:c>
      <x:c r="G2" t="str">
        <x:v>As risk aversion rises, the selected efficient-frontier portfolios trade expected return for lower variance and lower standard deviation.</x:v>
      </x:c>
    </x:row>
    <x:row r="3">
      <x:c r="A3" t="n">
        <x:v>1</x:v>
      </x:c>
      <x:c r="B3" s="14" t="n">
        <x:v>0.3938640861963558</x:v>
      </x:c>
      <x:c r="C3" s="16" t="n">
        <x:v>0.039753621082311084</x:v>
      </x:c>
      <x:c r="D3" s="14" t="n">
        <x:f>SQRT(C3)</x:f>
        <x:v>0.19938310129574946</x:v>
      </x:c>
      <x:c r="E3" s="16" t="n">
        <x:f>B3-A3*C3</x:f>
        <x:v>0.35411046511404476</x:v>
      </x:c>
    </x:row>
    <x:row r="4">
      <x:c r="A4" t="n">
        <x:v>2</x:v>
      </x:c>
      <x:c r="B4" s="14" t="n">
        <x:v>0.393135967779021</x:v>
      </x:c>
      <x:c r="C4" s="16" t="n">
        <x:v>0.039377091366461295</x:v>
      </x:c>
      <x:c r="D4" s="14" t="n">
        <x:f>SQRT(C4)</x:f>
        <x:v>0.19843661800802112</x:v>
      </x:c>
      <x:c r="E4" s="16" t="n">
        <x:f>B4-A4*C4</x:f>
        <x:v>0.31438178504609837</x:v>
      </x:c>
      <x:c r="G4" t="str">
        <x:v>Moderate risk point</x:v>
      </x:c>
    </x:row>
    <x:row r="5">
      <x:c r="A5" t="n">
        <x:v>3</x:v>
      </x:c>
      <x:c r="B5" s="14" t="n">
        <x:v>0.36104981548218085</x:v>
      </x:c>
      <x:c r="C5" s="16" t="n">
        <x:v>0.026007861242778096</x:v>
      </x:c>
      <x:c r="D5" s="14" t="n">
        <x:f>SQRT(C5)</x:f>
        <x:v>0.16126952980268186</x:v>
      </x:c>
      <x:c r="E5" s="16" t="n">
        <x:f>B5-A5*C5</x:f>
        <x:v>0.28302623175384656</x:v>
      </x:c>
      <x:c r="G5" t="str">
        <x:v>r=2 was selected as a reasonable compromise: expected return remains high while volatility falls relative to r=0.5.</x:v>
      </x:c>
    </x:row>
    <x:row r="6">
      <x:c r="A6" t="n">
        <x:v>4</x:v>
      </x:c>
      <x:c r="B6" s="14" t="n">
        <x:v>0.3504618612761657</x:v>
      </x:c>
      <x:c r="C6" s="16" t="n">
        <x:v>0.023032172479859916</x:v>
      </x:c>
      <x:c r="D6" s="14" t="n">
        <x:f>SQRT(C6)</x:f>
        <x:v>0.15176354133934775</x:v>
      </x:c>
      <x:c r="E6" s="16" t="n">
        <x:f>B6-A6*C6</x:f>
        <x:v>0.258333171356726</x:v>
      </x:c>
    </x:row>
    <x:row r="7">
      <x:c r="A7" t="n">
        <x:v>5</x:v>
      </x:c>
      <x:c r="B7" s="14" t="n">
        <x:v>0.324436850008125</x:v>
      </x:c>
      <x:c r="C7" s="16" t="n">
        <x:v>0.0171780413926661</x:v>
      </x:c>
      <x:c r="D7" s="14" t="n">
        <x:f>SQRT(C7)</x:f>
        <x:v>0.13106502734393374</x:v>
      </x:c>
      <x:c r="E7" s="16" t="n">
        <x:f>B7-A7*C7</x:f>
        <x:v>0.2385466430447945</x:v>
      </x:c>
      <x:c r="G7" t="str">
        <x:v>Greater risk-aversion point</x:v>
      </x:c>
    </x:row>
    <x:row r="8">
      <x:c r="A8" t="n">
        <x:v>6</x:v>
      </x:c>
      <x:c r="B8" s="14" t="n">
        <x:v>0.302224985043177</x:v>
      </x:c>
      <x:c r="C8" s="16" t="n">
        <x:v>0.013119547194735466</x:v>
      </x:c>
      <x:c r="D8" s="14" t="n">
        <x:f>SQRT(C8)</x:f>
        <x:v>0.11454059190843859</x:v>
      </x:c>
      <x:c r="E8" s="16" t="n">
        <x:f>B8-A8*C8</x:f>
        <x:v>0.2235077018747642</x:v>
      </x:c>
      <x:c r="G8" t="str">
        <x:v>r=8 substantially reduces standard deviation while maintaining an expected annual return above 26%.</x:v>
      </x:c>
    </x:row>
    <x:row r="9">
      <x:c r="A9" t="n">
        <x:v>7</x:v>
      </x:c>
      <x:c r="B9" s="14" t="n">
        <x:v>0.2816356281889033</x:v>
      </x:c>
      <x:c r="C9" s="16" t="n">
        <x:v>0.009931849548192479</x:v>
      </x:c>
      <x:c r="D9" s="14" t="n">
        <x:f>SQRT(C9)</x:f>
        <x:v>0.09965866519371248</x:v>
      </x:c>
      <x:c r="E9" s="16" t="n">
        <x:f>B9-A9*C9</x:f>
        <x:v>0.21211268135155598</x:v>
      </x:c>
    </x:row>
    <x:row r="10">
      <x:c r="A10" t="n">
        <x:v>8</x:v>
      </x:c>
      <x:c r="B10" s="14" t="n">
        <x:v>0.26602003641300415</x:v>
      </x:c>
      <x:c r="C10" s="16" t="n">
        <x:v>0.007838209644277668</x:v>
      </x:c>
      <x:c r="D10" s="14" t="n">
        <x:f>SQRT(C10)</x:f>
        <x:v>0.08853366390406345</x:v>
      </x:c>
      <x:c r="E10" s="16" t="n">
        <x:f>B10-A10*C10</x:f>
        <x:v>0.2033143592587828</x:v>
      </x:c>
    </x:row>
    <x:row r="11">
      <x:c r="A11" t="n">
        <x:v>9</x:v>
      </x:c>
      <x:c r="B11" s="14" t="n">
        <x:v>0.25659191989684765</x:v>
      </x:c>
      <x:c r="C11" s="16" t="n">
        <x:v>0.006723013958031877</x:v>
      </x:c>
      <x:c r="D11" s="14" t="n">
        <x:f>SQRT(C11)</x:f>
        <x:v>0.08199398732853451</x:v>
      </x:c>
      <x:c r="E11" s="16" t="n">
        <x:f>B11-A11*C11</x:f>
        <x:v>0.19608479427456077</x:v>
      </x:c>
    </x:row>
    <x:row r="12">
      <x:c r="A12" t="n">
        <x:v>10</x:v>
      </x:c>
      <x:c r="B12" s="14" t="n">
        <x:v>0.24909248668004041</x:v>
      </x:c>
      <x:c r="C12" s="16" t="n">
        <x:v>0.00592954422832401</x:v>
      </x:c>
      <x:c r="D12" s="14" t="n">
        <x:f>SQRT(C12)</x:f>
        <x:v>0.0770035338690635</x:v>
      </x:c>
      <x:c r="E12" s="16" t="n">
        <x:f>B12-A12*C12</x:f>
        <x:v>0.1897970443968003</x:v>
      </x:c>
    </x:row>
  </x:sheetData>
  <x:pageMargins left="0.7" right="0.7" top="0.75" bottom="0.75" header="0.3" footer="0.3"/>
  <x:tableParts count="1">
    <x:tablePart xmlns:r="http://schemas.openxmlformats.org/officeDocument/2006/relationships" r:id="R42faf9eb4dbf4a3d"/>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x:c r="A1" s="9" t="str">
        <x:v>Ticker</x:v>
      </x:c>
      <x:c r="B1" s="9" t="str">
        <x:v>Base minimum-variance</x:v>
      </x:c>
      <x:c r="C1" s="9" t="str">
        <x:v>Constrained portfolio</x:v>
      </x:c>
      <x:c r="D1" s="9" t="str">
        <x:v>Moderate risk tolerance</x:v>
      </x:c>
      <x:c r="E1" s="9" t="str">
        <x:v>Greater risk aversion</x:v>
      </x:c>
      <x:c r="F1" s="9"/>
      <x:c r="G1" s="9"/>
      <x:c r="H1" s="9"/>
      <x:c r="I1" s="9"/>
      <x:c r="J1" s="9"/>
      <x:c r="K1" s="9"/>
      <x:c r="L1" s="9"/>
      <x:c r="M1" s="9"/>
      <x:c r="N1" s="9"/>
      <x:c r="O1" s="9"/>
      <x:c r="P1" s="9"/>
      <x:c r="Q1" s="9"/>
      <x:c r="R1" s="9"/>
      <x:c r="S1" s="9"/>
      <x:c r="T1" s="9"/>
      <x:c r="U1" s="9"/>
      <x:c r="V1" s="9"/>
      <x:c r="W1" s="9"/>
      <x:c r="X1" s="9"/>
      <x:c r="Y1" s="9"/>
      <x:c r="Z1" s="9"/>
    </x:row>
    <x:row r="2">
      <x:c r="A2" t="str">
        <x:v>META</x:v>
      </x:c>
      <x:c r="B2" s="14" t="n">
        <x:v>0.1656553198429411</x:v>
      </x:c>
      <x:c r="C2" s="14" t="n">
        <x:v>0.0224194184557393</x:v>
      </x:c>
      <x:c r="D2" s="14" t="n">
        <x:v>9.99802234670802e-7</x:v>
      </x:c>
      <x:c r="E2" s="14" t="n">
        <x:v>0</x:v>
      </x:c>
    </x:row>
    <x:row r="3">
      <x:c r="A3" t="str">
        <x:v>XOM</x:v>
      </x:c>
      <x:c r="B3" s="14" t="n">
        <x:v>0.5450832423178504</x:v>
      </x:c>
      <x:c r="C3" s="14" t="n">
        <x:v>0.25</x:v>
      </x:c>
      <x:c r="D3" s="14" t="n">
        <x:v>0.24999900001694014</x:v>
      </x:c>
      <x:c r="E3" s="14" t="n">
        <x:v>0.25</x:v>
      </x:c>
    </x:row>
    <x:row r="4">
      <x:c r="A4" t="str">
        <x:v>NVDA</x:v>
      </x:c>
      <x:c r="B4" s="14" t="n">
        <x:v>0</x:v>
      </x:c>
      <x:c r="C4" s="14" t="n">
        <x:v>0.07867753314520025</x:v>
      </x:c>
      <x:c r="D4" s="14" t="n">
        <x:v>0.25</x:v>
      </x:c>
      <x:c r="E4" s="14" t="n">
        <x:v>0.15350664589901442</x:v>
      </x:c>
    </x:row>
    <x:row r="5">
      <x:c r="A5" t="str">
        <x:v>KO</x:v>
      </x:c>
      <x:c r="B5" s="14" t="n">
        <x:v>0.0964026569856584</x:v>
      </x:c>
      <x:c r="C5" s="14" t="n">
        <x:v>0.2417604401091576</x:v>
      </x:c>
      <x:c r="D5" s="14" t="n">
        <x:v>0</x:v>
      </x:c>
      <x:c r="E5" s="14" t="n">
        <x:v>0.24191878302774147</x:v>
      </x:c>
    </x:row>
    <x:row r="6">
      <x:c r="A6" t="str">
        <x:v>CAT</x:v>
      </x:c>
      <x:c r="B6" s="14" t="n">
        <x:v>0.19285878085355</x:v>
      </x:c>
      <x:c r="C6" s="14" t="n">
        <x:v>0.25</x:v>
      </x:c>
      <x:c r="D6" s="14" t="n">
        <x:v>0.25</x:v>
      </x:c>
      <x:c r="E6" s="14" t="n">
        <x:v>0.25</x:v>
      </x:c>
    </x:row>
    <x:row r="7">
      <x:c r="A7" t="str">
        <x:v>EXC</x:v>
      </x:c>
      <x:c r="B7" s="14" t="n">
        <x:v>0</x:v>
      </x:c>
      <x:c r="C7" s="14" t="n">
        <x:v>0.00004344310449068135</x:v>
      </x:c>
      <x:c r="D7" s="14" t="n">
        <x:v>0</x:v>
      </x:c>
      <x:c r="E7" s="14" t="n">
        <x:v>0.02819324068353801</x:v>
      </x:c>
    </x:row>
    <x:row r="8">
      <x:c r="A8" t="str">
        <x:v>UNH</x:v>
      </x:c>
      <x:c r="B8" s="14" t="n">
        <x:v>0</x:v>
      </x:c>
      <x:c r="C8" s="14" t="n">
        <x:v>0.15709916518541214</x:v>
      </x:c>
      <x:c r="D8" s="14" t="n">
        <x:v>0</x:v>
      </x:c>
      <x:c r="E8" s="14" t="n">
        <x:v>0.07638133037827413</x:v>
      </x:c>
    </x:row>
    <x:row r="9">
      <x:c r="A9" t="str">
        <x:v>FCX</x:v>
      </x:c>
      <x:c r="B9" s="14" t="n">
        <x:v>0</x:v>
      </x:c>
      <x:c r="C9" s="14" t="n">
        <x:v>0</x:v>
      </x:c>
      <x:c r="D9" s="14" t="n">
        <x:v>0</x:v>
      </x:c>
      <x:c r="E9" s="14" t="n">
        <x:v>0</x:v>
      </x:c>
    </x:row>
    <x:row r="10">
      <x:c r="A10" t="str">
        <x:v>GS</x:v>
      </x:c>
      <x:c r="B10" s="14" t="n">
        <x:v>0</x:v>
      </x:c>
      <x:c r="C10" s="14" t="n">
        <x:v>0</x:v>
      </x:c>
      <x:c r="D10" s="14" t="n">
        <x:v>0.25</x:v>
      </x:c>
      <x:c r="E10" s="14" t="n">
        <x:v>1.1431934253691044e-11</x:v>
      </x:c>
    </x:row>
    <x:row r="11">
      <x:c r="A11" t="str">
        <x:v>AMT</x:v>
      </x:c>
      <x:c r="B11" s="14" t="n">
        <x:v>0</x:v>
      </x:c>
      <x:c r="C11" s="14" t="n">
        <x:v>0</x:v>
      </x:c>
      <x:c r="D11" s="14" t="n">
        <x:v>1.8674654841360463e-11</x:v>
      </x:c>
      <x:c r="E11" s="14" t="n">
        <x:v>0</x:v>
      </x:c>
    </x:row>
    <x:row r="12">
      <x:c r="A12" t="str">
        <x:v>HD</x:v>
      </x:c>
      <x:c r="B12" s="14" t="n">
        <x:v>0</x:v>
      </x:c>
      <x:c r="C12" s="14" t="n">
        <x:v>0</x:v>
      </x:c>
      <x:c r="D12" s="14" t="n">
        <x:v>1.6215058914332403e-10</x:v>
      </x:c>
      <x:c r="E12" s="14" t="n">
        <x:v>0</x:v>
      </x:c>
    </x:row>
    <x:row r="13">
      <x:c r="B13" s="14"/>
      <x:c r="C13" s="14"/>
      <x:c r="D13" s="14"/>
      <x:c r="E13" s="14"/>
    </x:row>
    <x:row r="14">
      <x:c r="A14" t="str">
        <x:v>Total</x:v>
      </x:c>
      <x:c r="B14" s="14" t="n">
        <x:f>SUM(B2:B12)</x:f>
        <x:v>1</x:v>
      </x:c>
      <x:c r="C14" s="14" t="n">
        <x:f>SUM(C2:C12)</x:f>
        <x:v>1</x:v>
      </x:c>
      <x:c r="D14" s="14" t="n">
        <x:f>SUM(D2:D12)</x:f>
        <x:v>1</x:v>
      </x:c>
      <x:c r="E14" s="14" t="n">
        <x:f>SUM(E2:E12)</x:f>
        <x:v>1</x:v>
      </x:c>
    </x:row>
    <x:row r="16">
      <x:c r="A16" t="str">
        <x:v>Notes</x:v>
      </x:c>
    </x:row>
    <x:row r="17">
      <x:c r="A17" t="str">
        <x:v>Near-zero values are retained to document solver output but should be interpreted as effectively 0% allocations.</x:v>
      </x:c>
    </x:row>
  </x:sheetData>
  <x:pageMargins left="0.7" right="0.7" top="0.75" bottom="0.75" header="0.3" footer="0.3"/>
  <x:tableParts count="1">
    <x:tablePart xmlns:r="http://schemas.openxmlformats.org/officeDocument/2006/relationships" r:id="R85390a30aaa54c49"/>
  </x:tableParts>
</x:worksheet>
</file>

<file path=xl/worksheets/sheet5.xml><?xml version="1.0" encoding="utf-8"?>
<x:worksheet xmlns:x="http://schemas.openxmlformats.org/spreadsheetml/2006/main">
  <x:sheetFormatPr defaultRowHeight="15"/>
  <x:cols>
    <x:col min="1" max="1" width="34" hidden="0" customWidth="1"/>
    <x:col min="2" max="2" width="10.359999656677246" hidden="0" customWidth="1"/>
    <x:col min="3" max="3" width="10.229999542236328" hidden="0" customWidth="1"/>
    <x:col min="4" max="4" width="55" hidden="0" customWidth="1"/>
  </x:cols>
  <x:sheetData>
    <x:row r="1">
      <x:c r="A1" s="9" t="str">
        <x:v>Forecasting method</x:v>
      </x:c>
      <x:c r="B1" s="9" t="str">
        <x:v>MSE</x:v>
      </x:c>
      <x:c r="C1" s="9" t="str">
        <x:v>Relative rank</x:v>
      </x:c>
      <x:c r="D1" s="9" t="str">
        <x:v>Interpretation</x:v>
      </x:c>
      <x:c r="E1" s="9"/>
      <x:c r="F1" s="9"/>
      <x:c r="G1" s="9"/>
      <x:c r="H1" s="9"/>
      <x:c r="I1" s="9"/>
      <x:c r="J1" s="9"/>
      <x:c r="K1" s="9"/>
      <x:c r="L1" s="9"/>
      <x:c r="M1" s="9"/>
      <x:c r="N1" s="9"/>
      <x:c r="O1" s="9"/>
      <x:c r="P1" s="9"/>
      <x:c r="Q1" s="9"/>
      <x:c r="R1" s="9"/>
      <x:c r="S1" s="9"/>
      <x:c r="T1" s="9"/>
      <x:c r="U1" s="9"/>
      <x:c r="V1" s="9"/>
      <x:c r="W1" s="9"/>
      <x:c r="X1" s="9"/>
      <x:c r="Y1" s="9"/>
      <x:c r="Z1" s="9"/>
    </x:row>
    <x:row r="2">
      <x:c r="A2" t="str">
        <x:v>Simple four-month moving average</x:v>
      </x:c>
      <x:c r="B2" s="18" t="n">
        <x:v>3935.3695778409074</x:v>
      </x:c>
      <x:c r="C2" t="n">
        <x:v>3</x:v>
      </x:c>
      <x:c r="D2" t="str">
        <x:v>Highest error; equal weighting lagged recent META price movements.</x:v>
      </x:c>
    </x:row>
    <x:row r="3">
      <x:c r="A3" t="str">
        <x:v>Weighted four-month moving average</x:v>
      </x:c>
      <x:c r="B3" s="18" t="n">
        <x:v>2005.0840870134264</x:v>
      </x:c>
      <x:c r="C3" t="n">
        <x:v>2</x:v>
      </x:c>
      <x:c r="D3" t="str">
        <x:v>Improved over simple MA by emphasizing recent months.</x:v>
      </x:c>
    </x:row>
    <x:row r="4">
      <x:c r="A4" t="str">
        <x:v>Holt double exponential smoothing</x:v>
      </x:c>
      <x:c r="B4" s="18" t="n">
        <x:v>1950.8042685411885</x:v>
      </x:c>
      <x:c r="C4" t="n">
        <x:v>1</x:v>
      </x:c>
      <x:c r="D4" t="str">
        <x:v>Lowest MSE; selected as preferred META forecasting approach.</x:v>
      </x:c>
    </x:row>
    <x:row r="7">
      <x:c r="A7" t="str">
        <x:v>Recommendation</x:v>
      </x:c>
    </x:row>
    <x:row r="8">
      <x:c r="A8" t="str">
        <x:v>Holt double exponential smoothing was selected because it produced the lowest MSE among the methods tested. The forecasting result should be interpreted alongside the portfolio-optimization outputs rather than as a standalone investment recommendation.</x:v>
      </x:c>
    </x:row>
  </x:sheetData>
  <x:pageMargins left="0.7" right="0.7" top="0.75" bottom="0.75" header="0.3" footer="0.3"/>
  <x:tableParts count="1">
    <x:tablePart xmlns:r="http://schemas.openxmlformats.org/officeDocument/2006/relationships" r:id="Ra53bcba1ac9646af"/>
  </x:tableParts>
</x:worksheet>
</file>