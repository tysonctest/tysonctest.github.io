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7dc34004e4e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c93723e55e240c5"/>
    <x:sheet xmlns:r="http://schemas.openxmlformats.org/officeDocument/2006/relationships" name="Source_Catalog" sheetId="2" r:id="Rbc7bb9b4733a4410"/>
    <x:sheet xmlns:r="http://schemas.openxmlformats.org/officeDocument/2006/relationships" name="Verification_Model" sheetId="3" r:id="Raafce573438b42c1"/>
    <x:sheet xmlns:r="http://schemas.openxmlformats.org/officeDocument/2006/relationships" name="Redacted_Company_Sample" sheetId="4" r:id="Rd248bf902e2846cf"/>
    <x:sheet xmlns:r="http://schemas.openxmlformats.org/officeDocument/2006/relationships" name="Dashboard_Input" sheetId="5" r:id="R896ba6f049da4553"/>
    <x:sheet xmlns:r="http://schemas.openxmlformats.org/officeDocument/2006/relationships" name="Dashboard" sheetId="6" r:id="Rf0bec5e574d845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00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ebbaf324854174" /><Relationship Type="http://schemas.openxmlformats.org/officeDocument/2006/relationships/theme" Target="/xl/theme/theme1.xml" Id="Rfda19fde18414ab1" /><Relationship Type="http://schemas.openxmlformats.org/officeDocument/2006/relationships/sharedStrings" Target="/xl/sharedStrings.xml" Id="Rfb509ce92aa3401c" /><Relationship Type="http://schemas.openxmlformats.org/officeDocument/2006/relationships/worksheet" Target="/xl/worksheets/sheet1.xml" Id="R0c93723e55e240c5" /><Relationship Type="http://schemas.openxmlformats.org/officeDocument/2006/relationships/worksheet" Target="/xl/worksheets/sheet2.xml" Id="Rbc7bb9b4733a4410" /><Relationship Type="http://schemas.openxmlformats.org/officeDocument/2006/relationships/worksheet" Target="/xl/worksheets/sheet3.xml" Id="Raafce573438b42c1" /><Relationship Type="http://schemas.openxmlformats.org/officeDocument/2006/relationships/worksheet" Target="/xl/worksheets/sheet4.xml" Id="Rd248bf902e2846cf" /><Relationship Type="http://schemas.openxmlformats.org/officeDocument/2006/relationships/worksheet" Target="/xl/worksheets/sheet5.xml" Id="R896ba6f049da4553" /><Relationship Type="http://schemas.openxmlformats.org/officeDocument/2006/relationships/worksheet" Target="/xl/worksheets/sheet6.xml" Id="Rf0bec5e574d845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4f6d80b542474f" /><Relationship Type="http://schemas.openxmlformats.org/officeDocument/2006/relationships/chart" Target="/xl/drawings/charts/chart2.xml" Id="R48174058e0694dd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'Dashboard'!$B$12:$B$21</c:f>
              <c:strCache>
                <c:ptCount val="0"/>
              </c:strCache>
            </c:strRef>
          </c:cat>
          <c:val>
            <c:numRef>
              <c:f>'Dashboard'!$C$12:$C$21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NAICS Industry</a:t>
                </a:r>
              </a:p>
            </c:rich>
          </c:tx>
        </c:title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Record Count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pieChart>
        <c:ser>
          <c:idx val="0"/>
          <c:order val="0"/>
          <c:tx>
            <c:v>Region</c:v>
          </c:tx>
          <c:cat>
            <c:strRef>
              <c:f>'Dashboard'!$E$22:$E$23</c:f>
              <c:strCache>
                <c:ptCount val="0"/>
              </c:strCache>
            </c:strRef>
          </c:cat>
          <c:val>
            <c:numRef>
              <c:f>'Dashboard'!$F$22:$F$23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4f6d80b542474f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11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174058e0694dd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Catalog" displayName="SourceCatalog" ref="A3:F9" headerRowCount="1">
  <x:tableColumns count="6">
    <x:tableColumn id="1" name="Source / Input"/>
    <x:tableColumn id="2" name="Original Use"/>
    <x:tableColumn id="3" name="Public Portfolio Treatment"/>
    <x:tableColumn id="4" name="Notes"/>
    <x:tableColumn id="5" name="Data Sensitivity"/>
    <x:tableColumn id="6" name="Example URL / Reference"/>
  </x:tableColumns>
  <x:tableStyleInfo name="TableStyleMedium2" showRowStripes="1"/>
</x:table>
</file>

<file path=xl/tables/table2.xml><?xml version="1.0" encoding="utf-8"?>
<x:table xmlns:x="http://schemas.openxmlformats.org/spreadsheetml/2006/main" id="2" name="VerificationModel" displayName="VerificationModel" ref="A3:H8" headerRowCount="1">
  <x:tableColumns count="8">
    <x:tableColumn id="1" name="Validation Signal"/>
    <x:tableColumn id="2" name="Example Test"/>
    <x:tableColumn id="3" name="Score Weight"/>
    <x:tableColumn id="4" name="Possible Values"/>
    <x:tableColumn id="5" name="Interpretation"/>
    <x:tableColumn id="6" name="Automation Level"/>
    <x:tableColumn id="7" name="Portfolio Note"/>
    <x:tableColumn id="8" name="Risk / Limitation"/>
  </x:tableColumns>
  <x:tableStyleInfo name="TableStyleMedium2" showRowStripes="1"/>
</x:table>
</file>

<file path=xl/tables/table3.xml><?xml version="1.0" encoding="utf-8"?>
<x:table xmlns:x="http://schemas.openxmlformats.org/spreadsheetml/2006/main" id="3" name="RedactedCompanySample" displayName="RedactedCompanySample" ref="A3:O15" headerRowCount="1">
  <x:tableColumns count="15">
    <x:tableColumn id="1" name="Company_ID"/>
    <x:tableColumn id="2" name="City"/>
    <x:tableColumn id="3" name="Region"/>
    <x:tableColumn id="4" name="NAICS_3"/>
    <x:tableColumn id="5" name="NAICS_Label"/>
    <x:tableColumn id="6" name="Employee_Band"/>
    <x:tableColumn id="7" name="Phone_Found"/>
    <x:tableColumn id="8" name="URL_Found"/>
    <x:tableColumn id="9" name="DUNS_Found"/>
    <x:tableColumn id="10" name="Address_Geocoded"/>
    <x:tableColumn id="11" name="Active_Status_Found"/>
    <x:tableColumn id="12" name="Confidence_Score"/>
    <x:tableColumn id="13" name="Confidence_Band"/>
    <x:tableColumn id="14" name="Latitude"/>
    <x:tableColumn id="15" name="Longitude"/>
  </x:tableColumns>
  <x:tableStyleInfo name="TableStyleMedium2" showRowStripes="1"/>
</x:table>
</file>

<file path=xl/tables/table4.xml><?xml version="1.0" encoding="utf-8"?>
<x:table xmlns:x="http://schemas.openxmlformats.org/spreadsheetml/2006/main" id="4" name="DashboardInput" displayName="DashboardInput" ref="A3:G8" headerRowCount="1">
  <x:tableColumns count="7">
    <x:tableColumn id="1" name="Category"/>
    <x:tableColumn id="2" name="Metric"/>
    <x:tableColumn id="3" name="Value"/>
    <x:tableColumn id="4" name="Formula / Source"/>
    <x:tableColumn id="5" name="Interpretation"/>
    <x:tableColumn id="6" name="Portfolio Use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IndustryCounts" displayName="IndustryCounts" ref="I3:K13" headerRowCount="1">
  <x:tableColumns count="3">
    <x:tableColumn id="1" name="NAICS_3"/>
    <x:tableColumn id="2" name="Industry"/>
    <x:tableColumn id="3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4e8ff1b71541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3c02387ab646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be3e1a8dc945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c46223abe34118" /><Relationship Type="http://schemas.openxmlformats.org/officeDocument/2006/relationships/table" Target="/xl/tables/table5.xml" Id="Rfd29a66e857e4c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b8f809aa0a52426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5" t="str">
        <x:v>SDMTS Supply Chain Mapping: Redacted Portfolio Workbook Demo</x:v>
      </x:c>
    </x:row>
    <x:row r="3">
      <x:c r="A3" s="11" t="str">
        <x:v>Purpose</x:v>
      </x:c>
      <x:c r="B3" s="14" t="str">
        <x:v>Cleaned workbook demo showing the structure of a supply-chain mapping and dashboard workflow without publishing proprietary firm-level data.</x:v>
      </x:c>
    </x:row>
    <x:row r="4">
      <x:c r="A4" s="11" t="str">
        <x:v>Original project</x:v>
      </x:c>
      <x:c r="B4" s="14" t="str">
        <x:v>South Dakota Manufacturing and Technology Solutions / Coyote Business Consulting</x:v>
      </x:c>
    </x:row>
    <x:row r="5">
      <x:c r="A5" s="11" t="str">
        <x:v>Scope note</x:v>
      </x:c>
      <x:c r="B5" s="14" t="str">
        <x:v>This is a portfolio demonstration. Company names and records are synthetic/redacted, and the workbook is not intended to reproduce the original D&amp;B Hoovers dataset or client files.</x:v>
      </x:c>
    </x:row>
    <x:row r="6">
      <x:c r="A6" s="11" t="str">
        <x:v>Workflow represented</x:v>
      </x:c>
      <x:c r="B6" s="14" t="str">
        <x:v>Company record cleanup, existence/validity scoring, NAICS-based classification, dashboard aggregation, and map-readiness checks.</x:v>
      </x:c>
    </x:row>
    <x:row r="7">
      <x:c r="A7" s="11" t="str">
        <x:v>Tools represented</x:v>
      </x:c>
      <x:c r="B7" s="14" t="str">
        <x:v>Excel dashboard structure, pivot/dashboard inputs, map-ready fields, validation logic, and public demonstration charts.</x:v>
      </x:c>
    </x:row>
    <x:row r="8">
      <x:c r="A8" s="11" t="str">
        <x:v>Role framing</x:v>
      </x:c>
      <x:c r="B8" s="14" t="str">
        <x:v>Team consulting project with shared technical and client-facing responsibilities. Primary contributions centered on interpretation, written/presentation deliverables, and client-facing recommendations.</x:v>
      </x:c>
    </x:row>
    <x:row r="9">
      <x:c r="A9" s="11" t="str">
        <x:v>Date prepared</x:v>
      </x:c>
      <x:c r="B9" s="14" t="str">
        <x:v>2026-06-07</x:v>
      </x:c>
    </x:row>
    <x:row r="10">
      <x:c r="A10" s="11" t="str">
        <x:v>Recommended portfolio note</x:v>
      </x:c>
      <x:c r="B10" s="14" t="str">
        <x:v>Raw company-level data and client working files are not included in the public portfolio package.</x:v>
      </x:c>
    </x:row>
    <x:row r="11">
      <x:c r="A11" s="11" t="str">
        <x:v>Sheets</x:v>
      </x:c>
      <x:c r="B11" s="14" t="str">
        <x:v>Source_Catalog, Verification_Model, Redacted_Company_Sample, Dashboard_Input, Dashboard</x:v>
      </x:c>
    </x:row>
    <x:row r="12">
      <x:c r="A12" s="11" t="str">
        <x:v>Version</x:v>
      </x:c>
      <x:c r="B12" s="14" t="str">
        <x:v>Public redacted workbook demo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42" hidden="0" customWidth="1"/>
  </x:cols>
  <x:sheetData>
    <x:row r="1" ht="28" customHeight="1">
      <x:c r="A1" s="5" t="str">
        <x:v>Source and Workflow Catalog</x:v>
      </x:c>
    </x:row>
    <x:row r="3">
      <x:c r="A3" s="19" t="str">
        <x:v>Source / Input</x:v>
      </x:c>
      <x:c r="B3" s="19" t="str">
        <x:v>Original Use</x:v>
      </x:c>
      <x:c r="C3" s="19" t="str">
        <x:v>Public Portfolio Treatment</x:v>
      </x:c>
      <x:c r="D3" s="19" t="str">
        <x:v>Notes</x:v>
      </x:c>
      <x:c r="E3" s="19" t="str">
        <x:v>Data Sensitivity</x:v>
      </x:c>
      <x:c r="F3" s="19" t="str">
        <x:v>Example URL / Reference</x:v>
      </x:c>
    </x:row>
    <x:row r="4">
      <x:c r="A4" s="14" t="str">
        <x:v>D&amp;B Hoovers company records</x:v>
      </x:c>
      <x:c r="B4" s="14" t="str">
        <x:v>Company list, addresses, industry fields, D-U-N-S numbers, employment and contact fields</x:v>
      </x:c>
      <x:c r="C4" s="14" t="str">
        <x:v>Not published; represented with synthetic sample records</x:v>
      </x:c>
      <x:c r="D4" s="14" t="str">
        <x:v>Original firm-level list should not be treated as a public artifact</x:v>
      </x:c>
      <x:c r="E4" s="14" t="str">
        <x:v>Restricted / client working data</x:v>
      </x:c>
      <x:c r="F4" s="14" t="str">
        <x:v>https://www.dnb.com/</x:v>
      </x:c>
    </x:row>
    <x:row r="5">
      <x:c r="A5" s="14" t="str">
        <x:v>Bing / public web search</x:v>
      </x:c>
      <x:c r="B5" s="14" t="str">
        <x:v>Supplemental existence checks, company descriptions, phone/URL/address verification support</x:v>
      </x:c>
      <x:c r="C5" s="14" t="str">
        <x:v>Workflow described; no scraped records published</x:v>
      </x:c>
      <x:c r="D5" s="14" t="str">
        <x:v>Used to support confidence scoring, not as a definitive source</x:v>
      </x:c>
      <x:c r="E5" s="14" t="str">
        <x:v>Public web data but working outputs redacted</x:v>
      </x:c>
      <x:c r="F5" s="14" t="str">
        <x:v>https://www.bing.com/</x:v>
      </x:c>
    </x:row>
    <x:row r="6">
      <x:c r="A6" s="14" t="str">
        <x:v>South Dakota Secretary of State</x:v>
      </x:c>
      <x:c r="B6" s="14" t="str">
        <x:v>Manual business status verification pathway</x:v>
      </x:c>
      <x:c r="C6" s="14" t="str">
        <x:v>Referenced as a dashboard button/workflow concept</x:v>
      </x:c>
      <x:c r="D6" s="14" t="str">
        <x:v>CAPTCHA limited automated scraping</x:v>
      </x:c>
      <x:c r="E6" s="14" t="str">
        <x:v>Public lookup</x:v>
      </x:c>
      <x:c r="F6" s="14" t="str">
        <x:v>https://sosenterprise.sd.gov/BusinessServices/Business/FilingSearch.aspx</x:v>
      </x:c>
    </x:row>
    <x:row r="7">
      <x:c r="A7" s="14" t="str">
        <x:v>NAICS codes</x:v>
      </x:c>
      <x:c r="B7" s="14" t="str">
        <x:v>Industry classification and mapping categories</x:v>
      </x:c>
      <x:c r="C7" s="14" t="str">
        <x:v>Three-digit NAICS grouping illustrated</x:v>
      </x:c>
      <x:c r="D7" s="14" t="str">
        <x:v>Used to reduce map complexity</x:v>
      </x:c>
      <x:c r="E7" s="14" t="str">
        <x:v>Public classification system</x:v>
      </x:c>
      <x:c r="F7" s="14" t="str">
        <x:v>https://www.census.gov/naics/</x:v>
      </x:c>
    </x:row>
    <x:row r="8">
      <x:c r="A8" s="14" t="str">
        <x:v>Geocoding API</x:v>
      </x:c>
      <x:c r="B8" s="14" t="str">
        <x:v>Latitude/longitude for map-ready records</x:v>
      </x:c>
      <x:c r="C8" s="14" t="str">
        <x:v>Workflow described; synthetic coordinates in demo</x:v>
      </x:c>
      <x:c r="D8" s="14" t="str">
        <x:v>Manual correction needed for a small number of out-of-state coordinates</x:v>
      </x:c>
      <x:c r="E8" s="14" t="str">
        <x:v>API-generated working output redacted</x:v>
      </x:c>
      <x:c r="F8" s="14" t="str">
        <x:v>https://developers.google.com/maps/documentation/geocoding</x:v>
      </x:c>
    </x:row>
    <x:row r="9">
      <x:c r="A9" s="14" t="str">
        <x:v>Excel dashboard and Power Map</x:v>
      </x:c>
      <x:c r="B9" s="14" t="str">
        <x:v>Interactive filtering and map-ready output</x:v>
      </x:c>
      <x:c r="C9" s="14" t="str">
        <x:v>Demo workbook and visuals included</x:v>
      </x:c>
      <x:c r="D9" s="14" t="str">
        <x:v>Macro-enabled original not published in public package</x:v>
      </x:c>
      <x:c r="E9" s="14" t="str">
        <x:v>Redacted demo only</x:v>
      </x:c>
      <x:c r="F9" s="14" t="str">
        <x:v>https://support.microsoft.com/excel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94e8ff1b71541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5" t="str">
        <x:v>Existence / Validity Scoring Model</x:v>
      </x:c>
    </x:row>
    <x:row r="3">
      <x:c r="A3" s="19" t="str">
        <x:v>Validation Signal</x:v>
      </x:c>
      <x:c r="B3" s="19" t="str">
        <x:v>Example Test</x:v>
      </x:c>
      <x:c r="C3" s="19" t="str">
        <x:v>Score Weight</x:v>
      </x:c>
      <x:c r="D3" s="19" t="str">
        <x:v>Possible Values</x:v>
      </x:c>
      <x:c r="E3" s="19" t="str">
        <x:v>Interpretation</x:v>
      </x:c>
      <x:c r="F3" s="19" t="str">
        <x:v>Automation Level</x:v>
      </x:c>
      <x:c r="G3" s="19" t="str">
        <x:v>Portfolio Note</x:v>
      </x:c>
      <x:c r="H3" s="19" t="str">
        <x:v>Risk / Limitation</x:v>
      </x:c>
    </x:row>
    <x:row r="4">
      <x:c r="A4" s="14" t="str">
        <x:v>Phone number</x:v>
      </x:c>
      <x:c r="B4" s="14" t="str">
        <x:v>Reverse lookup / public web confirmation</x:v>
      </x:c>
      <x:c r="C4" s="26" t="n">
        <x:v>0.2</x:v>
      </x:c>
      <x:c r="D4" s="14" t="str">
        <x:v>0/1</x:v>
      </x:c>
      <x:c r="E4" s="14" t="str">
        <x:v>Phone evidence contributes to confidence the business exists</x:v>
      </x:c>
      <x:c r="F4" s="14" t="str">
        <x:v>Partly automated</x:v>
      </x:c>
      <x:c r="G4" s="14" t="str">
        <x:v>Demonstrated as logic only</x:v>
      </x:c>
      <x:c r="H4" s="14" t="str">
        <x:v>May reflect outdated listings</x:v>
      </x:c>
    </x:row>
    <x:row r="5">
      <x:c r="A5" s="14" t="str">
        <x:v>URL</x:v>
      </x:c>
      <x:c r="B5" s="14" t="str">
        <x:v>Company URL opens or appears linked to company</x:v>
      </x:c>
      <x:c r="C5" s="26" t="n">
        <x:v>0.2</x:v>
      </x:c>
      <x:c r="D5" s="14" t="str">
        <x:v>0/1</x:v>
      </x:c>
      <x:c r="E5" s="14" t="str">
        <x:v>Website evidence supports active business confidence</x:v>
      </x:c>
      <x:c r="F5" s="14" t="str">
        <x:v>Partly automated</x:v>
      </x:c>
      <x:c r="G5" s="14" t="str">
        <x:v>Demonstrated as logic only</x:v>
      </x:c>
      <x:c r="H5" s="14" t="str">
        <x:v>URL redirects can be ambiguous</x:v>
      </x:c>
    </x:row>
    <x:row r="6">
      <x:c r="A6" s="14" t="str">
        <x:v>D-U-N-S / public record</x:v>
      </x:c>
      <x:c r="B6" s="14" t="str">
        <x:v>D-U-N-S or related business identifier appears active</x:v>
      </x:c>
      <x:c r="C6" s="26" t="n">
        <x:v>0.2</x:v>
      </x:c>
      <x:c r="D6" s="14" t="str">
        <x:v>0/1</x:v>
      </x:c>
      <x:c r="E6" s="14" t="str">
        <x:v>Identifier evidence supports existence check</x:v>
      </x:c>
      <x:c r="F6" s="14" t="str">
        <x:v>Partly automated</x:v>
      </x:c>
      <x:c r="G6" s="14" t="str">
        <x:v>Original outputs redacted</x:v>
      </x:c>
      <x:c r="H6" s="14" t="str">
        <x:v>Third-party records can be incomplete</x:v>
      </x:c>
    </x:row>
    <x:row r="7">
      <x:c r="A7" s="14" t="str">
        <x:v>Address</x:v>
      </x:c>
      <x:c r="B7" s="14" t="str">
        <x:v>Address geocodes to plausible SD location</x:v>
      </x:c>
      <x:c r="C7" s="26" t="n">
        <x:v>0.15</x:v>
      </x:c>
      <x:c r="D7" s="14" t="str">
        <x:v>0/1</x:v>
      </x:c>
      <x:c r="E7" s="14" t="str">
        <x:v>Location evidence supports map-readiness</x:v>
      </x:c>
      <x:c r="F7" s="14" t="str">
        <x:v>Automated + manual check</x:v>
      </x:c>
      <x:c r="G7" s="14" t="str">
        <x:v>Synthetic demo coordinates</x:v>
      </x:c>
      <x:c r="H7" s="14" t="str">
        <x:v>Geocoding can produce false positives</x:v>
      </x:c>
    </x:row>
    <x:row r="8">
      <x:c r="A8" s="14" t="str">
        <x:v>Active business status</x:v>
      </x:c>
      <x:c r="B8" s="14" t="str">
        <x:v>Search result or public record indicates active status</x:v>
      </x:c>
      <x:c r="C8" s="26" t="n">
        <x:v>0.25</x:v>
      </x:c>
      <x:c r="D8" s="14" t="str">
        <x:v>0/1</x:v>
      </x:c>
      <x:c r="E8" s="14" t="str">
        <x:v>Strongest single confidence signal</x:v>
      </x:c>
      <x:c r="F8" s="14" t="str">
        <x:v>Mixed</x:v>
      </x:c>
      <x:c r="G8" s="14" t="str">
        <x:v>Workflow only</x:v>
      </x:c>
      <x:c r="H8" s="14" t="str">
        <x:v>Search results are not authoritative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23c02387ab6469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8" customHeight="1">
      <x:c r="A1" s="5" t="str">
        <x:v>Redacted Company Sample and Map-Readiness Logic</x:v>
      </x:c>
    </x:row>
    <x:row r="3">
      <x:c r="A3" s="19" t="str">
        <x:v>Company_ID</x:v>
      </x:c>
      <x:c r="B3" s="19" t="str">
        <x:v>City</x:v>
      </x:c>
      <x:c r="C3" s="19" t="str">
        <x:v>Region</x:v>
      </x:c>
      <x:c r="D3" s="19" t="str">
        <x:v>NAICS_3</x:v>
      </x:c>
      <x:c r="E3" s="19" t="str">
        <x:v>NAICS_Label</x:v>
      </x:c>
      <x:c r="F3" s="19" t="str">
        <x:v>Employee_Band</x:v>
      </x:c>
      <x:c r="G3" s="19" t="str">
        <x:v>Phone_Found</x:v>
      </x:c>
      <x:c r="H3" s="19" t="str">
        <x:v>URL_Found</x:v>
      </x:c>
      <x:c r="I3" s="19" t="str">
        <x:v>DUNS_Found</x:v>
      </x:c>
      <x:c r="J3" s="19" t="str">
        <x:v>Address_Geocoded</x:v>
      </x:c>
      <x:c r="K3" s="19" t="str">
        <x:v>Active_Status_Found</x:v>
      </x:c>
      <x:c r="L3" s="19" t="str">
        <x:v>Confidence_Score</x:v>
      </x:c>
      <x:c r="M3" s="19" t="str">
        <x:v>Confidence_Band</x:v>
      </x:c>
      <x:c r="N3" s="19" t="str">
        <x:v>Latitude</x:v>
      </x:c>
      <x:c r="O3" s="19" t="str">
        <x:v>Longitude</x:v>
      </x:c>
    </x:row>
    <x:row r="4">
      <x:c r="A4" s="14" t="str">
        <x:v>MFG-001</x:v>
      </x:c>
      <x:c r="B4" s="14" t="str">
        <x:v>Sioux Falls</x:v>
      </x:c>
      <x:c r="C4" s="14" t="str">
        <x:v>East River</x:v>
      </x:c>
      <x:c r="D4" s="14" t="n">
        <x:v>333</x:v>
      </x:c>
      <x:c r="E4" s="14" t="str">
        <x:v>Machinery Manufacturing</x:v>
      </x:c>
      <x:c r="F4" s="14" t="str">
        <x:v>50-99</x:v>
      </x:c>
      <x:c r="G4" s="14" t="n">
        <x:v>1</x:v>
      </x:c>
      <x:c r="H4" s="14" t="n">
        <x:v>1</x:v>
      </x:c>
      <x:c r="I4" s="14" t="n">
        <x:v>1</x:v>
      </x:c>
      <x:c r="J4" s="14" t="n">
        <x:v>1</x:v>
      </x:c>
      <x:c r="K4" s="14" t="n">
        <x:v>1</x:v>
      </x:c>
      <x:c r="L4" s="26" t="n">
        <x:f>G4*Verification_Model!$C$4+H4*Verification_Model!$C$5+I4*Verification_Model!$C$6+J4*Verification_Model!$C$7+K4*Verification_Model!$C$8</x:f>
        <x:v>1</x:v>
      </x:c>
      <x:c r="M4" s="14" t="str">
        <x:f>IF(L4&gt;=0.8,"High",IF(L4&gt;=0.6,"Medium","Review"))</x:f>
        <x:v>High</x:v>
      </x:c>
      <x:c r="N4" s="30" t="n">
        <x:v>43.5446</x:v>
      </x:c>
      <x:c r="O4" s="30" t="n">
        <x:v>-96.7311</x:v>
      </x:c>
    </x:row>
    <x:row r="5">
      <x:c r="A5" s="14" t="str">
        <x:v>MFG-002</x:v>
      </x:c>
      <x:c r="B5" s="14" t="str">
        <x:v>Rapid City</x:v>
      </x:c>
      <x:c r="C5" s="14" t="str">
        <x:v>West River</x:v>
      </x:c>
      <x:c r="D5" s="14" t="n">
        <x:v>332</x:v>
      </x:c>
      <x:c r="E5" s="14" t="str">
        <x:v>Fabricated Metal Product Manufacturing</x:v>
      </x:c>
      <x:c r="F5" s="14" t="str">
        <x:v>20-49</x:v>
      </x:c>
      <x:c r="G5" s="14" t="n">
        <x:v>1</x:v>
      </x:c>
      <x:c r="H5" s="14" t="n">
        <x:v>1</x:v>
      </x:c>
      <x:c r="I5" s="14" t="n">
        <x:v>0</x:v>
      </x:c>
      <x:c r="J5" s="14" t="n">
        <x:v>1</x:v>
      </x:c>
      <x:c r="K5" s="14" t="n">
        <x:v>1</x:v>
      </x:c>
      <x:c r="L5" s="26" t="n">
        <x:f>G5*Verification_Model!$C$4+H5*Verification_Model!$C$5+I5*Verification_Model!$C$6+J5*Verification_Model!$C$7+K5*Verification_Model!$C$8</x:f>
        <x:v>0.8</x:v>
      </x:c>
      <x:c r="M5" s="14" t="str">
        <x:f>IF(L5&gt;=0.8,"High",IF(L5&gt;=0.6,"Medium","Review"))</x:f>
        <x:v>High</x:v>
      </x:c>
      <x:c r="N5" s="30" t="n">
        <x:v>44.0805</x:v>
      </x:c>
      <x:c r="O5" s="30" t="n">
        <x:v>-103.231</x:v>
      </x:c>
    </x:row>
    <x:row r="6">
      <x:c r="A6" s="14" t="str">
        <x:v>MFG-003</x:v>
      </x:c>
      <x:c r="B6" s="14" t="str">
        <x:v>Watertown</x:v>
      </x:c>
      <x:c r="C6" s="14" t="str">
        <x:v>East River</x:v>
      </x:c>
      <x:c r="D6" s="14" t="n">
        <x:v>326</x:v>
      </x:c>
      <x:c r="E6" s="14" t="str">
        <x:v>Plastics and Rubber Products Manufacturing</x:v>
      </x:c>
      <x:c r="F6" s="14" t="str">
        <x:v>100-249</x:v>
      </x:c>
      <x:c r="G6" s="14" t="n">
        <x:v>1</x:v>
      </x:c>
      <x:c r="H6" s="14" t="n">
        <x:v>0</x:v>
      </x:c>
      <x:c r="I6" s="14" t="n">
        <x:v>1</x:v>
      </x:c>
      <x:c r="J6" s="14" t="n">
        <x:v>1</x:v>
      </x:c>
      <x:c r="K6" s="14" t="n">
        <x:v>1</x:v>
      </x:c>
      <x:c r="L6" s="26" t="n">
        <x:f>G6*Verification_Model!$C$4+H6*Verification_Model!$C$5+I6*Verification_Model!$C$6+J6*Verification_Model!$C$7+K6*Verification_Model!$C$8</x:f>
        <x:v>0.8</x:v>
      </x:c>
      <x:c r="M6" s="14" t="str">
        <x:f>IF(L6&gt;=0.8,"High",IF(L6&gt;=0.6,"Medium","Review"))</x:f>
        <x:v>High</x:v>
      </x:c>
      <x:c r="N6" s="30" t="n">
        <x:v>44.8994</x:v>
      </x:c>
      <x:c r="O6" s="30" t="n">
        <x:v>-97.1151</x:v>
      </x:c>
    </x:row>
    <x:row r="7">
      <x:c r="A7" s="14" t="str">
        <x:v>MFG-004</x:v>
      </x:c>
      <x:c r="B7" s="14" t="str">
        <x:v>Yankton</x:v>
      </x:c>
      <x:c r="C7" s="14" t="str">
        <x:v>East River</x:v>
      </x:c>
      <x:c r="D7" s="14" t="n">
        <x:v>336</x:v>
      </x:c>
      <x:c r="E7" s="14" t="str">
        <x:v>Transportation Equipment Manufacturing</x:v>
      </x:c>
      <x:c r="F7" s="14" t="str">
        <x:v>50-99</x:v>
      </x:c>
      <x:c r="G7" s="14" t="n">
        <x:v>0</x:v>
      </x:c>
      <x:c r="H7" s="14" t="n">
        <x:v>1</x:v>
      </x:c>
      <x:c r="I7" s="14" t="n">
        <x:v>1</x:v>
      </x:c>
      <x:c r="J7" s="14" t="n">
        <x:v>1</x:v>
      </x:c>
      <x:c r="K7" s="14" t="n">
        <x:v>1</x:v>
      </x:c>
      <x:c r="L7" s="26" t="n">
        <x:f>G7*Verification_Model!$C$4+H7*Verification_Model!$C$5+I7*Verification_Model!$C$6+J7*Verification_Model!$C$7+K7*Verification_Model!$C$8</x:f>
        <x:v>0.8</x:v>
      </x:c>
      <x:c r="M7" s="14" t="str">
        <x:f>IF(L7&gt;=0.8,"High",IF(L7&gt;=0.6,"Medium","Review"))</x:f>
        <x:v>High</x:v>
      </x:c>
      <x:c r="N7" s="30" t="n">
        <x:v>42.8711</x:v>
      </x:c>
      <x:c r="O7" s="30" t="n">
        <x:v>-97.3973</x:v>
      </x:c>
    </x:row>
    <x:row r="8">
      <x:c r="A8" s="14" t="str">
        <x:v>MFG-005</x:v>
      </x:c>
      <x:c r="B8" s="14" t="str">
        <x:v>Aberdeen</x:v>
      </x:c>
      <x:c r="C8" s="14" t="str">
        <x:v>East River</x:v>
      </x:c>
      <x:c r="D8" s="14" t="n">
        <x:v>311</x:v>
      </x:c>
      <x:c r="E8" s="14" t="str">
        <x:v>Food Manufacturing</x:v>
      </x:c>
      <x:c r="F8" s="14" t="str">
        <x:v>20-49</x:v>
      </x:c>
      <x:c r="G8" s="14" t="n">
        <x:v>1</x:v>
      </x:c>
      <x:c r="H8" s="14" t="n">
        <x:v>1</x:v>
      </x:c>
      <x:c r="I8" s="14" t="n">
        <x:v>1</x:v>
      </x:c>
      <x:c r="J8" s="14" t="n">
        <x:v>1</x:v>
      </x:c>
      <x:c r="K8" s="14" t="n">
        <x:v>0</x:v>
      </x:c>
      <x:c r="L8" s="26" t="n">
        <x:f>G8*Verification_Model!$C$4+H8*Verification_Model!$C$5+I8*Verification_Model!$C$6+J8*Verification_Model!$C$7+K8*Verification_Model!$C$8</x:f>
        <x:v>0.7500000000000001</x:v>
      </x:c>
      <x:c r="M8" s="14" t="str">
        <x:f>IF(L8&gt;=0.8,"High",IF(L8&gt;=0.6,"Medium","Review"))</x:f>
        <x:v>Medium</x:v>
      </x:c>
      <x:c r="N8" s="30" t="n">
        <x:v>45.4647</x:v>
      </x:c>
      <x:c r="O8" s="30" t="n">
        <x:v>-98.4865</x:v>
      </x:c>
    </x:row>
    <x:row r="9">
      <x:c r="A9" s="14" t="str">
        <x:v>MFG-006</x:v>
      </x:c>
      <x:c r="B9" s="14" t="str">
        <x:v>Brookings</x:v>
      </x:c>
      <x:c r="C9" s="14" t="str">
        <x:v>East River</x:v>
      </x:c>
      <x:c r="D9" s="14" t="n">
        <x:v>334</x:v>
      </x:c>
      <x:c r="E9" s="14" t="str">
        <x:v>Computer and Electronic Product Manufacturing</x:v>
      </x:c>
      <x:c r="F9" s="14" t="str">
        <x:v>100-249</x:v>
      </x:c>
      <x:c r="G9" s="14" t="n">
        <x:v>1</x:v>
      </x:c>
      <x:c r="H9" s="14" t="n">
        <x:v>1</x:v>
      </x:c>
      <x:c r="I9" s="14" t="n">
        <x:v>1</x:v>
      </x:c>
      <x:c r="J9" s="14" t="n">
        <x:v>1</x:v>
      </x:c>
      <x:c r="K9" s="14" t="n">
        <x:v>1</x:v>
      </x:c>
      <x:c r="L9" s="26" t="n">
        <x:f>G9*Verification_Model!$C$4+H9*Verification_Model!$C$5+I9*Verification_Model!$C$6+J9*Verification_Model!$C$7+K9*Verification_Model!$C$8</x:f>
        <x:v>1</x:v>
      </x:c>
      <x:c r="M9" s="14" t="str">
        <x:f>IF(L9&gt;=0.8,"High",IF(L9&gt;=0.6,"Medium","Review"))</x:f>
        <x:v>High</x:v>
      </x:c>
      <x:c r="N9" s="30" t="n">
        <x:v>44.3114</x:v>
      </x:c>
      <x:c r="O9" s="30" t="n">
        <x:v>-96.7984</x:v>
      </x:c>
    </x:row>
    <x:row r="10">
      <x:c r="A10" s="14" t="str">
        <x:v>MFG-007</x:v>
      </x:c>
      <x:c r="B10" s="14" t="str">
        <x:v>Mitchell</x:v>
      </x:c>
      <x:c r="C10" s="14" t="str">
        <x:v>East River</x:v>
      </x:c>
      <x:c r="D10" s="14" t="n">
        <x:v>327</x:v>
      </x:c>
      <x:c r="E10" s="14" t="str">
        <x:v>Nonmetallic Mineral Product Manufacturing</x:v>
      </x:c>
      <x:c r="F10" s="14" t="str">
        <x:v>10-19</x:v>
      </x:c>
      <x:c r="G10" s="14" t="n">
        <x:v>1</x:v>
      </x:c>
      <x:c r="H10" s="14" t="n">
        <x:v>0</x:v>
      </x:c>
      <x:c r="I10" s="14" t="n">
        <x:v>0</x:v>
      </x:c>
      <x:c r="J10" s="14" t="n">
        <x:v>1</x:v>
      </x:c>
      <x:c r="K10" s="14" t="n">
        <x:v>1</x:v>
      </x:c>
      <x:c r="L10" s="26" t="n">
        <x:f>G10*Verification_Model!$C$4+H10*Verification_Model!$C$5+I10*Verification_Model!$C$6+J10*Verification_Model!$C$7+K10*Verification_Model!$C$8</x:f>
        <x:v>0.6</x:v>
      </x:c>
      <x:c r="M10" s="14" t="str">
        <x:f>IF(L10&gt;=0.8,"High",IF(L10&gt;=0.6,"Medium","Review"))</x:f>
        <x:v>Medium</x:v>
      </x:c>
      <x:c r="N10" s="30" t="n">
        <x:v>43.7094</x:v>
      </x:c>
      <x:c r="O10" s="30" t="n">
        <x:v>-98.0298</x:v>
      </x:c>
    </x:row>
    <x:row r="11">
      <x:c r="A11" s="14" t="str">
        <x:v>MFG-008</x:v>
      </x:c>
      <x:c r="B11" s="14" t="str">
        <x:v>Spearfish</x:v>
      </x:c>
      <x:c r="C11" s="14" t="str">
        <x:v>West River</x:v>
      </x:c>
      <x:c r="D11" s="14" t="n">
        <x:v>321</x:v>
      </x:c>
      <x:c r="E11" s="14" t="str">
        <x:v>Wood Product Manufacturing</x:v>
      </x:c>
      <x:c r="F11" s="14" t="str">
        <x:v>20-49</x:v>
      </x:c>
      <x:c r="G11" s="14" t="n">
        <x:v>1</x:v>
      </x:c>
      <x:c r="H11" s="14" t="n">
        <x:v>1</x:v>
      </x:c>
      <x:c r="I11" s="14" t="n">
        <x:v>0</x:v>
      </x:c>
      <x:c r="J11" s="14" t="n">
        <x:v>1</x:v>
      </x:c>
      <x:c r="K11" s="14" t="n">
        <x:v>0</x:v>
      </x:c>
      <x:c r="L11" s="26" t="n">
        <x:f>G11*Verification_Model!$C$4+H11*Verification_Model!$C$5+I11*Verification_Model!$C$6+J11*Verification_Model!$C$7+K11*Verification_Model!$C$8</x:f>
        <x:v>0.55</x:v>
      </x:c>
      <x:c r="M11" s="14" t="str">
        <x:f>IF(L11&gt;=0.8,"High",IF(L11&gt;=0.6,"Medium","Review"))</x:f>
        <x:v>Review</x:v>
      </x:c>
      <x:c r="N11" s="30" t="n">
        <x:v>44.4908</x:v>
      </x:c>
      <x:c r="O11" s="30" t="n">
        <x:v>-103.8594</x:v>
      </x:c>
    </x:row>
    <x:row r="12">
      <x:c r="A12" s="14" t="str">
        <x:v>MFG-009</x:v>
      </x:c>
      <x:c r="B12" s="14" t="str">
        <x:v>Huron</x:v>
      </x:c>
      <x:c r="C12" s="14" t="str">
        <x:v>East River</x:v>
      </x:c>
      <x:c r="D12" s="14" t="n">
        <x:v>331</x:v>
      </x:c>
      <x:c r="E12" s="14" t="str">
        <x:v>Primary Metal Manufacturing</x:v>
      </x:c>
      <x:c r="F12" s="14" t="str">
        <x:v>50-99</x:v>
      </x:c>
      <x:c r="G12" s="14" t="n">
        <x:v>1</x:v>
      </x:c>
      <x:c r="H12" s="14" t="n">
        <x:v>1</x:v>
      </x:c>
      <x:c r="I12" s="14" t="n">
        <x:v>1</x:v>
      </x:c>
      <x:c r="J12" s="14" t="n">
        <x:v>1</x:v>
      </x:c>
      <x:c r="K12" s="14" t="n">
        <x:v>1</x:v>
      </x:c>
      <x:c r="L12" s="26" t="n">
        <x:f>G12*Verification_Model!$C$4+H12*Verification_Model!$C$5+I12*Verification_Model!$C$6+J12*Verification_Model!$C$7+K12*Verification_Model!$C$8</x:f>
        <x:v>1</x:v>
      </x:c>
      <x:c r="M12" s="14" t="str">
        <x:f>IF(L12&gt;=0.8,"High",IF(L12&gt;=0.6,"Medium","Review"))</x:f>
        <x:v>High</x:v>
      </x:c>
      <x:c r="N12" s="30" t="n">
        <x:v>44.3633</x:v>
      </x:c>
      <x:c r="O12" s="30" t="n">
        <x:v>-98.2143</x:v>
      </x:c>
    </x:row>
    <x:row r="13">
      <x:c r="A13" s="14" t="str">
        <x:v>MFG-010</x:v>
      </x:c>
      <x:c r="B13" s="14" t="str">
        <x:v>Custer</x:v>
      </x:c>
      <x:c r="C13" s="14" t="str">
        <x:v>West River</x:v>
      </x:c>
      <x:c r="D13" s="14" t="n">
        <x:v>327</x:v>
      </x:c>
      <x:c r="E13" s="14" t="str">
        <x:v>Nonmetallic Mineral Product Manufacturing</x:v>
      </x:c>
      <x:c r="F13" s="14" t="str">
        <x:v>10-19</x:v>
      </x:c>
      <x:c r="G13" s="14" t="n">
        <x:v>1</x:v>
      </x:c>
      <x:c r="H13" s="14" t="n">
        <x:v>1</x:v>
      </x:c>
      <x:c r="I13" s="14" t="n">
        <x:v>0</x:v>
      </x:c>
      <x:c r="J13" s="14" t="n">
        <x:v>1</x:v>
      </x:c>
      <x:c r="K13" s="14" t="n">
        <x:v>1</x:v>
      </x:c>
      <x:c r="L13" s="26" t="n">
        <x:f>G13*Verification_Model!$C$4+H13*Verification_Model!$C$5+I13*Verification_Model!$C$6+J13*Verification_Model!$C$7+K13*Verification_Model!$C$8</x:f>
        <x:v>0.8</x:v>
      </x:c>
      <x:c r="M13" s="14" t="str">
        <x:f>IF(L13&gt;=0.8,"High",IF(L13&gt;=0.6,"Medium","Review"))</x:f>
        <x:v>High</x:v>
      </x:c>
      <x:c r="N13" s="30" t="n">
        <x:v>43.7667</x:v>
      </x:c>
      <x:c r="O13" s="30" t="n">
        <x:v>-103.5988</x:v>
      </x:c>
    </x:row>
    <x:row r="14">
      <x:c r="A14" s="14" t="str">
        <x:v>MFG-011</x:v>
      </x:c>
      <x:c r="B14" s="14" t="str">
        <x:v>Pierre</x:v>
      </x:c>
      <x:c r="C14" s="14" t="str">
        <x:v>Central</x:v>
      </x:c>
      <x:c r="D14" s="14" t="n">
        <x:v>325</x:v>
      </x:c>
      <x:c r="E14" s="14" t="str">
        <x:v>Chemical Manufacturing</x:v>
      </x:c>
      <x:c r="F14" s="14" t="str">
        <x:v>20-49</x:v>
      </x:c>
      <x:c r="G14" s="14" t="n">
        <x:v>0</x:v>
      </x:c>
      <x:c r="H14" s="14" t="n">
        <x:v>1</x:v>
      </x:c>
      <x:c r="I14" s="14" t="n">
        <x:v>1</x:v>
      </x:c>
      <x:c r="J14" s="14" t="n">
        <x:v>1</x:v>
      </x:c>
      <x:c r="K14" s="14" t="n">
        <x:v>1</x:v>
      </x:c>
      <x:c r="L14" s="26" t="n">
        <x:f>G14*Verification_Model!$C$4+H14*Verification_Model!$C$5+I14*Verification_Model!$C$6+J14*Verification_Model!$C$7+K14*Verification_Model!$C$8</x:f>
        <x:v>0.8</x:v>
      </x:c>
      <x:c r="M14" s="14" t="str">
        <x:f>IF(L14&gt;=0.8,"High",IF(L14&gt;=0.6,"Medium","Review"))</x:f>
        <x:v>High</x:v>
      </x:c>
      <x:c r="N14" s="30" t="n">
        <x:v>44.3683</x:v>
      </x:c>
      <x:c r="O14" s="30" t="n">
        <x:v>-100.351</x:v>
      </x:c>
    </x:row>
    <x:row r="15">
      <x:c r="A15" s="14" t="str">
        <x:v>MFG-012</x:v>
      </x:c>
      <x:c r="B15" s="14" t="str">
        <x:v>Madison</x:v>
      </x:c>
      <x:c r="C15" s="14" t="str">
        <x:v>East River</x:v>
      </x:c>
      <x:c r="D15" s="14" t="n">
        <x:v>335</x:v>
      </x:c>
      <x:c r="E15" s="14" t="str">
        <x:v>Electrical Equipment Manufacturing</x:v>
      </x:c>
      <x:c r="F15" s="14" t="str">
        <x:v>50-99</x:v>
      </x:c>
      <x:c r="G15" s="14" t="n">
        <x:v>1</x:v>
      </x:c>
      <x:c r="H15" s="14" t="n">
        <x:v>1</x:v>
      </x:c>
      <x:c r="I15" s="14" t="n">
        <x:v>1</x:v>
      </x:c>
      <x:c r="J15" s="14" t="n">
        <x:v>1</x:v>
      </x:c>
      <x:c r="K15" s="14" t="n">
        <x:v>1</x:v>
      </x:c>
      <x:c r="L15" s="26" t="n">
        <x:f>G15*Verification_Model!$C$4+H15*Verification_Model!$C$5+I15*Verification_Model!$C$6+J15*Verification_Model!$C$7+K15*Verification_Model!$C$8</x:f>
        <x:v>1</x:v>
      </x:c>
      <x:c r="M15" s="14" t="str">
        <x:f>IF(L15&gt;=0.8,"High",IF(L15&gt;=0.6,"Medium","Review"))</x:f>
        <x:v>High</x:v>
      </x:c>
      <x:c r="N15" s="30" t="n">
        <x:v>44.0061</x:v>
      </x:c>
      <x:c r="O15" s="30" t="n">
        <x:v>-97.1139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b9be3e1a8dc9452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28" customHeight="1">
      <x:c r="A1" s="5" t="str">
        <x:v>Dashboard Inputs</x:v>
      </x:c>
    </x:row>
    <x:row r="3">
      <x:c r="A3" s="19" t="str">
        <x:v>Category</x:v>
      </x:c>
      <x:c r="B3" s="19" t="str">
        <x:v>Metric</x:v>
      </x:c>
      <x:c r="C3" s="19" t="str">
        <x:v>Value</x:v>
      </x:c>
      <x:c r="D3" s="19" t="str">
        <x:v>Formula / Source</x:v>
      </x:c>
      <x:c r="E3" s="19" t="str">
        <x:v>Interpretation</x:v>
      </x:c>
      <x:c r="F3" s="19" t="str">
        <x:v>Portfolio Use</x:v>
      </x:c>
      <x:c r="G3" s="19" t="str">
        <x:v>Notes</x:v>
      </x:c>
      <x:c r="I3" s="19" t="str">
        <x:v>NAICS_3</x:v>
      </x:c>
      <x:c r="J3" s="19" t="str">
        <x:v>Industry</x:v>
      </x:c>
      <x:c r="K3" s="19" t="str">
        <x:v>Count</x:v>
      </x:c>
    </x:row>
    <x:row r="4">
      <x:c r="A4" s="14" t="str">
        <x:v>Map readiness</x:v>
      </x:c>
      <x:c r="B4" s="14" t="str">
        <x:v>Redacted sample records</x:v>
      </x:c>
      <x:c r="C4" s="14" t="n">
        <x:f>12</x:f>
        <x:v>12</x:v>
      </x:c>
      <x:c r="D4" s="14" t="str">
        <x:v>COUNTA(Redacted_Company_Sample!A4:A15)</x:v>
      </x:c>
      <x:c r="E4" s="14" t="str">
        <x:v>Count of demonstration company records</x:v>
      </x:c>
      <x:c r="F4" s="14" t="str">
        <x:v>Dashboard KPI</x:v>
      </x:c>
      <x:c r="G4" s="14" t="str">
        <x:v>Synthetic records</x:v>
      </x:c>
      <x:c r="I4" t="n">
        <x:v>311</x:v>
      </x:c>
      <x:c r="J4" t="str">
        <x:v>Food Manufacturing</x:v>
      </x:c>
      <x:c r="K4" t="n">
        <x:f>COUNTIF(Redacted_Company_Sample!D4:D15,I4)</x:f>
        <x:v>1</x:v>
      </x:c>
    </x:row>
    <x:row r="5">
      <x:c r="A5" s="14" t="str">
        <x:v>Map readiness</x:v>
      </x:c>
      <x:c r="B5" s="14" t="str">
        <x:v>High-confidence records</x:v>
      </x:c>
      <x:c r="C5" s="14" t="n">
        <x:f>9</x:f>
        <x:v>9</x:v>
      </x:c>
      <x:c r="D5" s="14" t="str">
        <x:v>COUNTIF(Redacted_Company_Sample!M4:M15,"High")</x:v>
      </x:c>
      <x:c r="E5" s="14" t="str">
        <x:v>Records that pass the high-confidence threshold</x:v>
      </x:c>
      <x:c r="F5" s="14" t="str">
        <x:v>Dashboard KPI</x:v>
      </x:c>
      <x:c r="G5" s="14" t="str">
        <x:v>Formula-driven</x:v>
      </x:c>
      <x:c r="I5" t="n">
        <x:v>321</x:v>
      </x:c>
      <x:c r="J5" t="str">
        <x:v>Wood Product Manufacturing</x:v>
      </x:c>
      <x:c r="K5" t="n">
        <x:f>COUNTIF(Redacted_Company_Sample!D4:D15,I5)</x:f>
        <x:v>1</x:v>
      </x:c>
    </x:row>
    <x:row r="6">
      <x:c r="A6" s="14" t="str">
        <x:v>Map readiness</x:v>
      </x:c>
      <x:c r="B6" s="14" t="str">
        <x:v>Medium/review records</x:v>
      </x:c>
      <x:c r="C6" s="14" t="n">
        <x:f>3</x:f>
        <x:v>3</x:v>
      </x:c>
      <x:c r="D6" s="14" t="str">
        <x:v>COUNTA(Redacted_Company_Sample!A4:A15)-C5</x:v>
      </x:c>
      <x:c r="E6" s="14" t="str">
        <x:v>Records needing some review</x:v>
      </x:c>
      <x:c r="F6" s="14" t="str">
        <x:v>Dashboard KPI</x:v>
      </x:c>
      <x:c r="G6" s="14" t="str">
        <x:v>Formula-driven</x:v>
      </x:c>
      <x:c r="I6" t="n">
        <x:v>325</x:v>
      </x:c>
      <x:c r="J6" t="str">
        <x:v>Chemical Manufacturing</x:v>
      </x:c>
      <x:c r="K6" t="n">
        <x:f>COUNTIF(Redacted_Company_Sample!D4:D15,I6)</x:f>
        <x:v>1</x:v>
      </x:c>
    </x:row>
    <x:row r="7">
      <x:c r="A7" s="14" t="str">
        <x:v>Geography</x:v>
      </x:c>
      <x:c r="B7" s="14" t="str">
        <x:v>East River records</x:v>
      </x:c>
      <x:c r="C7" s="14" t="n">
        <x:f>8</x:f>
        <x:v>8</x:v>
      </x:c>
      <x:c r="D7" s="14" t="str">
        <x:v>COUNTIF(Redacted_Company_Sample!C4:C15,"East River")</x:v>
      </x:c>
      <x:c r="E7" s="14" t="str">
        <x:v>Regional distribution indicator</x:v>
      </x:c>
      <x:c r="F7" s="14" t="str">
        <x:v>Dashboard KPI</x:v>
      </x:c>
      <x:c r="G7" s="14" t="str">
        <x:v>Formula-driven</x:v>
      </x:c>
      <x:c r="I7" t="n">
        <x:v>327</x:v>
      </x:c>
      <x:c r="J7" t="str">
        <x:v>Nonmetallic Mineral Product Manufacturing</x:v>
      </x:c>
      <x:c r="K7" t="n">
        <x:f>COUNTIF(Redacted_Company_Sample!D4:D15,I7)</x:f>
        <x:v>2</x:v>
      </x:c>
    </x:row>
    <x:row r="8">
      <x:c r="A8" s="14" t="str">
        <x:v>Geography</x:v>
      </x:c>
      <x:c r="B8" s="14" t="str">
        <x:v>West River records</x:v>
      </x:c>
      <x:c r="C8" s="14" t="n">
        <x:f>3</x:f>
        <x:v>3</x:v>
      </x:c>
      <x:c r="D8" s="14" t="str">
        <x:v>COUNTIF(Redacted_Company_Sample!C4:C15,"West River")</x:v>
      </x:c>
      <x:c r="E8" s="14" t="str">
        <x:v>Regional distribution indicator</x:v>
      </x:c>
      <x:c r="F8" s="14" t="str">
        <x:v>Dashboard KPI</x:v>
      </x:c>
      <x:c r="G8" s="14" t="str">
        <x:v>Formula-driven</x:v>
      </x:c>
      <x:c r="I8" t="n">
        <x:v>331</x:v>
      </x:c>
      <x:c r="J8" t="str">
        <x:v>Primary Metal Manufacturing</x:v>
      </x:c>
      <x:c r="K8" t="n">
        <x:f>COUNTIF(Redacted_Company_Sample!D4:D15,I8)</x:f>
        <x:v>1</x:v>
      </x:c>
    </x:row>
    <x:row r="9">
      <x:c r="I9" t="n">
        <x:v>332</x:v>
      </x:c>
      <x:c r="J9" t="str">
        <x:v>Fabricated Metal Product Manufacturing</x:v>
      </x:c>
      <x:c r="K9" t="n">
        <x:f>COUNTIF(Redacted_Company_Sample!D4:D15,I9)</x:f>
        <x:v>1</x:v>
      </x:c>
    </x:row>
    <x:row r="10">
      <x:c r="I10" t="n">
        <x:v>333</x:v>
      </x:c>
      <x:c r="J10" t="str">
        <x:v>Machinery Manufacturing</x:v>
      </x:c>
      <x:c r="K10" t="n">
        <x:f>COUNTIF(Redacted_Company_Sample!D4:D15,I10)</x:f>
        <x:v>1</x:v>
      </x:c>
    </x:row>
    <x:row r="11">
      <x:c r="I11" t="n">
        <x:v>334</x:v>
      </x:c>
      <x:c r="J11" t="str">
        <x:v>Computer and Electronic Product Manufacturing</x:v>
      </x:c>
      <x:c r="K11" t="n">
        <x:f>COUNTIF(Redacted_Company_Sample!D4:D15,I11)</x:f>
        <x:v>1</x:v>
      </x:c>
    </x:row>
    <x:row r="12">
      <x:c r="I12" t="n">
        <x:v>335</x:v>
      </x:c>
      <x:c r="J12" t="str">
        <x:v>Electrical Equipment Manufacturing</x:v>
      </x:c>
      <x:c r="K12" t="n">
        <x:f>COUNTIF(Redacted_Company_Sample!D4:D15,I12)</x:f>
        <x:v>1</x:v>
      </x:c>
    </x:row>
    <x:row r="13">
      <x:c r="I13" t="n">
        <x:v>336</x:v>
      </x:c>
      <x:c r="J13" t="str">
        <x:v>Transportation Equipment Manufacturing</x:v>
      </x:c>
      <x:c r="K13" t="n">
        <x:f>COUNTIF(Redacted_Company_Sample!D4:D15,I13)</x:f>
        <x:v>1</x:v>
      </x:c>
    </x:row>
  </x:sheetData>
  <x:mergeCells>
    <x:mergeCell ref="A1:G1"/>
  </x:mergeCells>
  <x:pageMargins left="0.7" right="0.7" top="0.75" bottom="0.75" header="0.3" footer="0.3"/>
  <x:tableParts count="2">
    <x:tablePart xmlns:r="http://schemas.openxmlformats.org/officeDocument/2006/relationships" r:id="R28c46223abe34118"/>
    <x:tablePart xmlns:r="http://schemas.openxmlformats.org/officeDocument/2006/relationships" r:id="Rfd29a66e857e4cb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38" hidden="0" customWidth="1"/>
  </x:cols>
  <x:sheetData>
    <x:row r="1" ht="28" customHeight="1">
      <x:c r="A1" s="5" t="str">
        <x:v>SDMTS Supply Chain Mapping: Redacted Dashboard Demo</x:v>
      </x:c>
    </x:row>
    <x:row r="3">
      <x:c r="A3" s="19" t="str">
        <x:v>KPI</x:v>
      </x:c>
      <x:c r="B3" s="19" t="str">
        <x:v>Value</x:v>
      </x:c>
      <x:c r="C3" s="19" t="str">
        <x:v>Interpretation</x:v>
      </x:c>
      <x:c r="D3" s="19" t="str">
        <x:v>Portfolio Note</x:v>
      </x:c>
    </x:row>
    <x:row r="4">
      <x:c r="A4" s="36" t="str">
        <x:f>Dashboard_Input!B4</x:f>
        <x:v>Redacted sample records</x:v>
      </x:c>
      <x:c r="B4" s="14" t="n">
        <x:f>Dashboard_Input!C4</x:f>
        <x:v>12</x:v>
      </x:c>
      <x:c r="C4" s="14" t="str">
        <x:f>Dashboard_Input!E4</x:f>
        <x:v>Count of demonstration company records</x:v>
      </x:c>
      <x:c r="D4" s="14" t="str">
        <x:f>Dashboard_Input!G4</x:f>
        <x:v>Synthetic records</x:v>
      </x:c>
    </x:row>
    <x:row r="5">
      <x:c r="A5" s="36" t="str">
        <x:f>Dashboard_Input!B5</x:f>
        <x:v>High-confidence records</x:v>
      </x:c>
      <x:c r="B5" s="14" t="n">
        <x:f>Dashboard_Input!C5</x:f>
        <x:v>9</x:v>
      </x:c>
      <x:c r="C5" s="14" t="str">
        <x:f>Dashboard_Input!E5</x:f>
        <x:v>Records that pass the high-confidence threshold</x:v>
      </x:c>
      <x:c r="D5" s="14" t="str">
        <x:f>Dashboard_Input!G5</x:f>
        <x:v>Formula-driven</x:v>
      </x:c>
    </x:row>
    <x:row r="6">
      <x:c r="A6" s="36" t="str">
        <x:f>Dashboard_Input!B6</x:f>
        <x:v>Medium/review records</x:v>
      </x:c>
      <x:c r="B6" s="14" t="n">
        <x:f>Dashboard_Input!C6</x:f>
        <x:v>3</x:v>
      </x:c>
      <x:c r="C6" s="14" t="str">
        <x:f>Dashboard_Input!E6</x:f>
        <x:v>Records needing some review</x:v>
      </x:c>
      <x:c r="D6" s="14" t="str">
        <x:f>Dashboard_Input!G6</x:f>
        <x:v>Formula-driven</x:v>
      </x:c>
    </x:row>
    <x:row r="7">
      <x:c r="A7" s="36" t="str">
        <x:f>Dashboard_Input!B7</x:f>
        <x:v>East River records</x:v>
      </x:c>
      <x:c r="B7" s="14" t="n">
        <x:f>Dashboard_Input!C7</x:f>
        <x:v>8</x:v>
      </x:c>
      <x:c r="C7" s="14" t="str">
        <x:f>Dashboard_Input!E7</x:f>
        <x:v>Regional distribution indicator</x:v>
      </x:c>
      <x:c r="D7" s="14" t="str">
        <x:f>Dashboard_Input!G7</x:f>
        <x:v>Formula-driven</x:v>
      </x:c>
    </x:row>
    <x:row r="8">
      <x:c r="A8" s="36" t="str">
        <x:f>Dashboard_Input!B8</x:f>
        <x:v>West River records</x:v>
      </x:c>
      <x:c r="B8" s="14" t="n">
        <x:f>Dashboard_Input!C8</x:f>
        <x:v>3</x:v>
      </x:c>
      <x:c r="C8" s="14" t="str">
        <x:f>Dashboard_Input!E8</x:f>
        <x:v>Regional distribution indicator</x:v>
      </x:c>
      <x:c r="D8" s="14" t="str">
        <x:f>Dashboard_Input!G8</x:f>
        <x:v>Formula-driven</x:v>
      </x:c>
    </x:row>
    <x:row r="11">
      <x:c r="A11" s="19" t="str">
        <x:v>NAICS_3</x:v>
      </x:c>
      <x:c r="B11" s="19" t="str">
        <x:v>Industry</x:v>
      </x:c>
      <x:c r="C11" s="19" t="str">
        <x:v>Count</x:v>
      </x:c>
    </x:row>
    <x:row r="12">
      <x:c r="A12" t="n">
        <x:f>Dashboard_Input!I4</x:f>
        <x:v>311</x:v>
      </x:c>
      <x:c r="B12" t="str">
        <x:f>Dashboard_Input!J4</x:f>
        <x:v>Food Manufacturing</x:v>
      </x:c>
      <x:c r="C12" t="n">
        <x:f>Dashboard_Input!K4</x:f>
        <x:v>1</x:v>
      </x:c>
    </x:row>
    <x:row r="13">
      <x:c r="A13" t="n">
        <x:f>Dashboard_Input!I5</x:f>
        <x:v>321</x:v>
      </x:c>
      <x:c r="B13" t="str">
        <x:f>Dashboard_Input!J5</x:f>
        <x:v>Wood Product Manufacturing</x:v>
      </x:c>
      <x:c r="C13" t="n">
        <x:f>Dashboard_Input!K5</x:f>
        <x:v>1</x:v>
      </x:c>
    </x:row>
    <x:row r="14">
      <x:c r="A14" t="n">
        <x:f>Dashboard_Input!I6</x:f>
        <x:v>325</x:v>
      </x:c>
      <x:c r="B14" t="str">
        <x:f>Dashboard_Input!J6</x:f>
        <x:v>Chemical Manufacturing</x:v>
      </x:c>
      <x:c r="C14" t="n">
        <x:f>Dashboard_Input!K6</x:f>
        <x:v>1</x:v>
      </x:c>
    </x:row>
    <x:row r="15">
      <x:c r="A15" t="n">
        <x:f>Dashboard_Input!I7</x:f>
        <x:v>327</x:v>
      </x:c>
      <x:c r="B15" t="str">
        <x:f>Dashboard_Input!J7</x:f>
        <x:v>Nonmetallic Mineral Product Manufacturing</x:v>
      </x:c>
      <x:c r="C15" t="n">
        <x:f>Dashboard_Input!K7</x:f>
        <x:v>2</x:v>
      </x:c>
    </x:row>
    <x:row r="16">
      <x:c r="A16" t="n">
        <x:f>Dashboard_Input!I8</x:f>
        <x:v>331</x:v>
      </x:c>
      <x:c r="B16" t="str">
        <x:f>Dashboard_Input!J8</x:f>
        <x:v>Primary Metal Manufacturing</x:v>
      </x:c>
      <x:c r="C16" t="n">
        <x:f>Dashboard_Input!K8</x:f>
        <x:v>1</x:v>
      </x:c>
    </x:row>
    <x:row r="17">
      <x:c r="A17" t="n">
        <x:f>Dashboard_Input!I9</x:f>
        <x:v>332</x:v>
      </x:c>
      <x:c r="B17" t="str">
        <x:f>Dashboard_Input!J9</x:f>
        <x:v>Fabricated Metal Product Manufacturing</x:v>
      </x:c>
      <x:c r="C17" t="n">
        <x:f>Dashboard_Input!K9</x:f>
        <x:v>1</x:v>
      </x:c>
    </x:row>
    <x:row r="18">
      <x:c r="A18" t="n">
        <x:f>Dashboard_Input!I10</x:f>
        <x:v>333</x:v>
      </x:c>
      <x:c r="B18" t="str">
        <x:f>Dashboard_Input!J10</x:f>
        <x:v>Machinery Manufacturing</x:v>
      </x:c>
      <x:c r="C18" t="n">
        <x:f>Dashboard_Input!K10</x:f>
        <x:v>1</x:v>
      </x:c>
    </x:row>
    <x:row r="19">
      <x:c r="A19" t="n">
        <x:f>Dashboard_Input!I11</x:f>
        <x:v>334</x:v>
      </x:c>
      <x:c r="B19" t="str">
        <x:f>Dashboard_Input!J11</x:f>
        <x:v>Computer and Electronic Product Manufacturing</x:v>
      </x:c>
      <x:c r="C19" t="n">
        <x:f>Dashboard_Input!K11</x:f>
        <x:v>1</x:v>
      </x:c>
    </x:row>
    <x:row r="20">
      <x:c r="A20" t="n">
        <x:f>Dashboard_Input!I12</x:f>
        <x:v>335</x:v>
      </x:c>
      <x:c r="B20" t="str">
        <x:f>Dashboard_Input!J12</x:f>
        <x:v>Electrical Equipment Manufacturing</x:v>
      </x:c>
      <x:c r="C20" t="n">
        <x:f>Dashboard_Input!K12</x:f>
        <x:v>1</x:v>
      </x:c>
    </x:row>
    <x:row r="21">
      <x:c r="A21" t="n">
        <x:f>Dashboard_Input!I13</x:f>
        <x:v>336</x:v>
      </x:c>
      <x:c r="B21" t="str">
        <x:f>Dashboard_Input!J13</x:f>
        <x:v>Transportation Equipment Manufacturing</x:v>
      </x:c>
      <x:c r="C21" t="n">
        <x:f>Dashboard_Input!K13</x:f>
        <x:v>1</x:v>
      </x:c>
      <x:c r="E21" s="19" t="str">
        <x:v>Region</x:v>
      </x:c>
      <x:c r="F21" s="19" t="str">
        <x:v>Count</x:v>
      </x:c>
    </x:row>
    <x:row r="22">
      <x:c r="E22" t="str">
        <x:v>East River</x:v>
      </x:c>
      <x:c r="F22" t="n">
        <x:f>COUNTIF(Redacted_Company_Sample!C4:C15,"East River")</x:f>
        <x:v>8</x:v>
      </x:c>
    </x:row>
    <x:row r="23">
      <x:c r="E23" t="str">
        <x:v>West River</x:v>
      </x:c>
      <x:c r="F23" t="n">
        <x:f>COUNTIF(Redacted_Company_Sample!C4:C15,"West River")</x:f>
        <x:v>3</x:v>
      </x:c>
    </x:row>
    <x:row r="24">
      <x:c r="A24" s="16" t="str">
        <x:v>Dashboard interpretation</x:v>
      </x:c>
    </x:row>
    <x:row r="25" ht="70" customHeight="1">
      <x:c r="A25" s="14" t="str">
        <x:v>This dashboard is a redacted demonstration of the structure used for a supply-chain mapping project. It avoids publishing client or third-party company records while showing how industry classification, location fields, confidence scoring, and dashboard aggregation can support economic-development and supply-chain analysis.</x:v>
      </x:c>
    </x:row>
    <x:row r="26">
      <x:c r="A26" s="14" t="str"/>
    </x:row>
    <x:row r="27">
      <x:c r="A27" s="17" t="str">
        <x:v>Use in portfolio</x:v>
      </x:c>
    </x:row>
    <x:row r="28" ht="45" customHeight="1">
      <x:c r="A28" s="14" t="str">
        <x:v>The workbook is meant to demonstrate workflow literacy rather than disclose proprietary records. It pairs with the project report, methods note, and visuals.</x:v>
      </x:c>
    </x:row>
    <x:row r="29">
      <x:c r="A29" t="str"/>
    </x:row>
    <x:row r="30">
      <x:c r="A30" t="str"/>
    </x:row>
  </x:sheetData>
  <x:mergeCells>
    <x:mergeCell ref="A1:K1"/>
    <x:mergeCell ref="A24:D24"/>
    <x:mergeCell ref="A25:D25"/>
    <x:mergeCell ref="A27:D27"/>
    <x:mergeCell ref="A28:D28"/>
  </x:mergeCells>
  <x:pageMargins left="0.7" right="0.7" top="0.75" bottom="0.75" header="0.3" footer="0.3"/>
  <x:drawing xmlns:r="http://schemas.openxmlformats.org/officeDocument/2006/relationships" r:id="Rb8f809aa0a524264"/>
</x:worksheet>
</file>