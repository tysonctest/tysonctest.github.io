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859634be8049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662285fc2e5473b"/>
    <x:sheet xmlns:r="http://schemas.openxmlformats.org/officeDocument/2006/relationships" name="Browser_HHI" sheetId="2" r:id="R0b22cdbd92294a80"/>
    <x:sheet xmlns:r="http://schemas.openxmlformats.org/officeDocument/2006/relationships" name="Issuer_HHI" sheetId="3" r:id="R3f4b6eb41e8240d7"/>
    <x:sheet xmlns:r="http://schemas.openxmlformats.org/officeDocument/2006/relationships" name="Summary" sheetId="4" r:id="R2d145d9aea374633"/>
    <x:sheet xmlns:r="http://schemas.openxmlformats.org/officeDocument/2006/relationships" name="Dashboard" sheetId="5" r:id="Rdef3d35d43614f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000"/>
    <x:numFmt numFmtId="202" formatCode="#,##0"/>
  </x:numFmts>
  <x:fonts count="4">
    <x:font>
      <x:sz val="11"/>
      <x:name val="Carlito"/>
    </x:font>
    <x:font>
      <x:b/>
      <x:sz val="15"/>
      <x:color rgb="FFFFFF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5272a7e9264485" /><Relationship Type="http://schemas.openxmlformats.org/officeDocument/2006/relationships/theme" Target="/xl/theme/theme1.xml" Id="R5a847d93d1ce4964" /><Relationship Type="http://schemas.openxmlformats.org/officeDocument/2006/relationships/sharedStrings" Target="/xl/sharedStrings.xml" Id="R8edfb631efd3458f" /><Relationship Type="http://schemas.openxmlformats.org/officeDocument/2006/relationships/worksheet" Target="/xl/worksheets/sheet1.xml" Id="R7662285fc2e5473b" /><Relationship Type="http://schemas.openxmlformats.org/officeDocument/2006/relationships/worksheet" Target="/xl/worksheets/sheet2.xml" Id="R0b22cdbd92294a80" /><Relationship Type="http://schemas.openxmlformats.org/officeDocument/2006/relationships/worksheet" Target="/xl/worksheets/sheet3.xml" Id="R3f4b6eb41e8240d7" /><Relationship Type="http://schemas.openxmlformats.org/officeDocument/2006/relationships/worksheet" Target="/xl/worksheets/sheet4.xml" Id="R2d145d9aea374633" /><Relationship Type="http://schemas.openxmlformats.org/officeDocument/2006/relationships/worksheet" Target="/xl/worksheets/sheet5.xml" Id="Rdef3d35d43614fa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bcdd8cb2565478a" /><Relationship Type="http://schemas.openxmlformats.org/officeDocument/2006/relationships/chart" Target="/xl/drawings/charts/chart2.xml" Id="Reb302d675c6d499e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HHI</c:v>
          </c:tx>
          <c:cat>
            <c:strRef>
              <c:f>'Browser_HHI'!$B$10:$D$10</c:f>
              <c:strCache>
                <c:ptCount val="0"/>
              </c:strCache>
            </c:strRef>
          </c:cat>
          <c:val>
            <c:numRef>
              <c:f>'Browser_HHI'!$B$11:$D$11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HHI</a:t>
                </a:r>
              </a:p>
            </c:rich>
          </c:tx>
        </c:title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HHI</c:v>
          </c:tx>
          <c:cat>
            <c:strRef>
              <c:f>'Issuer_HHI'!$B$21:$C$21</c:f>
              <c:strCache>
                <c:ptCount val="0"/>
              </c:strCache>
            </c:strRef>
          </c:cat>
          <c:val>
            <c:numRef>
              <c:f>'Issuer_HHI'!$B$22:$C$22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overlay val="0"/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rPr/>
                  <a:t>HHI</a:t>
                </a:r>
              </a:p>
            </c:rich>
          </c:tx>
        </c:title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</xdr:row>
      <xdr:rowOff>0</xdr:rowOff>
    </xdr:from>
    <xdr:to>
      <xdr:col>10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cdd8cb2565478a"/>
        </a:graphicData>
      </a:graphic>
    </xdr:graphicFrame>
    <xdr:clientData/>
  </xdr:twoCellAnchor>
  <xdr:twoCellAnchor>
    <xdr:from>
      <xdr:col>5</xdr:col>
      <xdr:colOff>0</xdr:colOff>
      <xdr:row>17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302d675c6d499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rowserFirmShares" displayName="BrowserFirmShares" ref="A3:H8" headerRowCount="1">
  <x:tableColumns count="8">
    <x:tableColumn id="1" name="Firm"/>
    <x:tableColumn id="2" name="2012 Share"/>
    <x:tableColumn id="3" name="2017 Share"/>
    <x:tableColumn id="4" name="2022 Share"/>
    <x:tableColumn id="5" name="2012 Sq."/>
    <x:tableColumn id="6" name="2017 Sq."/>
    <x:tableColumn id="7" name="2022 Sq."/>
    <x:tableColumn id="8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IssuerShares" displayName="IssuerShares" ref="A3:G19" headerRowCount="1">
  <x:tableColumns count="7">
    <x:tableColumn id="1" name="Firm"/>
    <x:tableColumn id="2" name="Base Share"/>
    <x:tableColumn id="3" name="Post-Scenario Share"/>
    <x:tableColumn id="4" name="Base Sq."/>
    <x:tableColumn id="5" name="Post Sq."/>
    <x:tableColumn id="6" name="Scenario Treatment"/>
    <x:tableColumn id="7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CaseStudySummary" displayName="CaseStudySummary" ref="A3:E9" headerRowCount="1">
  <x:tableColumns count="5">
    <x:tableColumn id="1" name="Case"/>
    <x:tableColumn id="2" name="Metric"/>
    <x:tableColumn id="3" name="Starting point"/>
    <x:tableColumn id="4" name="Ending / scenario"/>
    <x:tableColumn id="5" name="Interpreta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3f5f1a4fd6149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de283adb3d4f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575bb7a40642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1ea79d40c2714819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5" hidden="0" customWidth="1"/>
  </x:cols>
  <x:sheetData>
    <x:row r="1" ht="28" customHeight="1">
      <x:c r="A1" s="5" t="str">
        <x:v>Market Concentration Case Studies: Workbook Demo</x:v>
      </x:c>
    </x:row>
    <x:row r="3">
      <x:c r="A3" s="11" t="str">
        <x:v>Purpose</x:v>
      </x:c>
      <x:c r="B3" s="14" t="str">
        <x:v>Cleaned portfolio workbook showing HHI and CR4 calculations for Industrial Organization case studies.</x:v>
      </x:c>
    </x:row>
    <x:row r="4">
      <x:c r="A4" s="11" t="str">
        <x:v>Cases</x:v>
      </x:c>
      <x:c r="B4" s="14" t="str">
        <x:v>Browser industry snapshots and credit-card issuer market concentration/merger scenario.</x:v>
      </x:c>
    </x:row>
    <x:row r="5">
      <x:c r="A5" s="11" t="str">
        <x:v>Method</x:v>
      </x:c>
      <x:c r="B5" s="14" t="str">
        <x:v>HHI = sum of squared firm market shares. CR4 = combined share of the four largest firms.</x:v>
      </x:c>
    </x:row>
    <x:row r="6">
      <x:c r="A6" s="11" t="str">
        <x:v>Scale note</x:v>
      </x:c>
      <x:c r="B6" s="14" t="str">
        <x:v>Shares are entered as decimals; HHI points use the 0-10,000 scale.</x:v>
      </x:c>
    </x:row>
    <x:row r="7">
      <x:c r="A7" s="11" t="str">
        <x:v>Data note</x:v>
      </x:c>
      <x:c r="B7" s="14" t="str">
        <x:v>This is a cleaned workbook demo based on the course project spreadsheets. It is intended to show method and interpretation, not provide legal conclusions.</x:v>
      </x:c>
    </x:row>
    <x:row r="8">
      <x:c r="A8" s="11" t="str">
        <x:v>Browser note</x:v>
      </x:c>
      <x:c r="B8" s="14" t="str">
        <x:v>Browser shares are aggregated to the firm level before HHI is calculated, so Microsoft browser shares are combined.</x:v>
      </x:c>
    </x:row>
    <x:row r="9">
      <x:c r="A9" s="11" t="str">
        <x:v>Issuer note</x:v>
      </x:c>
      <x:c r="B9" s="14" t="str">
        <x:v>The merger scenario combines Capital One and Discover to illustrate a change in HHI.</x:v>
      </x:c>
    </x:row>
    <x:row r="10">
      <x:c r="A10" s="11" t="str">
        <x:v>Portfolio purpose</x:v>
      </x:c>
      <x:c r="B10" s="14" t="str">
        <x:v>Designed for recruiters and graduate admissions readers to see applied economic reasoning and transparent spreadsheet logic.</x:v>
      </x:c>
    </x:row>
    <x:row r="11">
      <x:c r="A11" s="11" t="str">
        <x:v>Prepared for</x:v>
      </x:c>
      <x:c r="B11" s="14" t="str">
        <x:v>Public portfolio artifact package.</x:v>
      </x:c>
    </x:row>
    <x:row r="12">
      <x:c r="A12" s="11" t="str">
        <x:v>Version</x:v>
      </x:c>
      <x:c r="B12" s="14" t="str">
        <x:v>Final cleaned demo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50" hidden="0" customWidth="1"/>
  </x:cols>
  <x:sheetData>
    <x:row r="1" ht="28" customHeight="1">
      <x:c r="A1" s="5" t="str">
        <x:v>Browser Industry Market Concentration</x:v>
      </x:c>
    </x:row>
    <x:row r="3">
      <x:c r="A3" s="19" t="str">
        <x:v>Firm</x:v>
      </x:c>
      <x:c r="B3" s="19" t="str">
        <x:v>2012 Share</x:v>
      </x:c>
      <x:c r="C3" s="19" t="str">
        <x:v>2017 Share</x:v>
      </x:c>
      <x:c r="D3" s="19" t="str">
        <x:v>2022 Share</x:v>
      </x:c>
      <x:c r="E3" s="19" t="str">
        <x:v>2012 Sq.</x:v>
      </x:c>
      <x:c r="F3" s="19" t="str">
        <x:v>2017 Sq.</x:v>
      </x:c>
      <x:c r="G3" s="19" t="str">
        <x:v>2022 Sq.</x:v>
      </x:c>
      <x:c r="H3" s="19" t="str">
        <x:v>Notes</x:v>
      </x:c>
    </x:row>
    <x:row r="4">
      <x:c r="A4" t="str">
        <x:v>Google</x:v>
      </x:c>
      <x:c r="B4" s="24" t="n">
        <x:v>0.3276</x:v>
      </x:c>
      <x:c r="C4" s="24" t="n">
        <x:v>0.6323</x:v>
      </x:c>
      <x:c r="D4" s="24" t="n">
        <x:v>0.6693</x:v>
      </x:c>
      <x:c r="E4" s="26" t="n">
        <x:f>B4^2</x:f>
        <x:v>0.10732176</x:v>
      </x:c>
      <x:c r="F4" s="26" t="n">
        <x:f>C4^2</x:f>
        <x:v>0.39980329</x:v>
      </x:c>
      <x:c r="G4" s="26" t="n">
        <x:f>D4^2</x:f>
        <x:v>0.44796249</x:v>
      </x:c>
      <x:c r="H4" t="str">
        <x:v>Firm-level shares aggregate browsers under common ownership.</x:v>
      </x:c>
    </x:row>
    <x:row r="5">
      <x:c r="A5" t="str">
        <x:v>Microsoft</x:v>
      </x:c>
      <x:c r="B5" s="24" t="n">
        <x:v>0.3231</x:v>
      </x:c>
      <x:c r="C5" s="24" t="n">
        <x:v>0.13169999999999998</x:v>
      </x:c>
      <x:c r="D5" s="24" t="n">
        <x:v>0.1139</x:v>
      </x:c>
      <x:c r="E5" s="26" t="n">
        <x:f>B5^2</x:f>
        <x:v>0.10439361</x:v>
      </x:c>
      <x:c r="F5" s="26" t="n">
        <x:f>C5^2</x:f>
        <x:v>0.017344889999999995</x:v>
      </x:c>
      <x:c r="G5" s="26" t="n">
        <x:f>D5^2</x:f>
        <x:v>0.01297321</x:v>
      </x:c>
      <x:c r="H5" t="str">
        <x:v>Firm-level shares aggregate browsers under common ownership.</x:v>
      </x:c>
    </x:row>
    <x:row r="6">
      <x:c r="A6" t="str">
        <x:v>Mozilla</x:v>
      </x:c>
      <x:c r="B6" s="24" t="n">
        <x:v>0.2456</x:v>
      </x:c>
      <x:c r="C6" s="24" t="n">
        <x:v>0.1398</x:v>
      </x:c>
      <x:c r="D6" s="24" t="n">
        <x:v>0.078</x:v>
      </x:c>
      <x:c r="E6" s="26" t="n">
        <x:f>B6^2</x:f>
        <x:v>0.06031936000000001</x:v>
      </x:c>
      <x:c r="F6" s="26" t="n">
        <x:f>C6^2</x:f>
        <x:v>0.019544040000000002</x:v>
      </x:c>
      <x:c r="G6" s="26" t="n">
        <x:f>D6^2</x:f>
        <x:v>0.006084</x:v>
      </x:c>
      <x:c r="H6" t="str">
        <x:v>Firm-level shares aggregate browsers under common ownership.</x:v>
      </x:c>
    </x:row>
    <x:row r="7">
      <x:c r="A7" t="str">
        <x:v>Apple</x:v>
      </x:c>
      <x:c r="B7" s="24" t="n">
        <x:v>0.07</x:v>
      </x:c>
      <x:c r="C7" s="24" t="n">
        <x:v>0.0515</x:v>
      </x:c>
      <x:c r="D7" s="24" t="n">
        <x:v>0.0893</x:v>
      </x:c>
      <x:c r="E7" s="26" t="n">
        <x:f>B7^2</x:f>
        <x:v>0.004900000000000001</x:v>
      </x:c>
      <x:c r="F7" s="26" t="n">
        <x:f>C7^2</x:f>
        <x:v>0.0026522499999999997</x:v>
      </x:c>
      <x:c r="G7" s="26" t="n">
        <x:f>D7^2</x:f>
        <x:v>0.00797449</x:v>
      </x:c>
      <x:c r="H7" t="str">
        <x:v>Firm-level shares aggregate browsers under common ownership.</x:v>
      </x:c>
    </x:row>
    <x:row r="8">
      <x:c r="A8" t="str">
        <x:v>Opera</x:v>
      </x:c>
      <x:c r="B8" s="24" t="n">
        <x:v>0.0177</x:v>
      </x:c>
      <x:c r="C8" s="24" t="n">
        <x:v>0.0222</x:v>
      </x:c>
      <x:c r="D8" s="24" t="n">
        <x:v>0.0298</x:v>
      </x:c>
      <x:c r="E8" s="26" t="n">
        <x:f>B8^2</x:f>
        <x:v>0.00031329000000000003</x:v>
      </x:c>
      <x:c r="F8" s="26" t="n">
        <x:f>C8^2</x:f>
        <x:v>0.00049284</x:v>
      </x:c>
      <x:c r="G8" s="26" t="n">
        <x:f>D8^2</x:f>
        <x:v>0.00088804</x:v>
      </x:c>
      <x:c r="H8" t="str">
        <x:v>Firm-level shares aggregate browsers under common ownership.</x:v>
      </x:c>
    </x:row>
    <x:row r="10">
      <x:c r="A10" t="str">
        <x:v>Metric</x:v>
      </x:c>
      <x:c r="B10" t="str">
        <x:v>2012</x:v>
      </x:c>
      <x:c r="C10" t="str">
        <x:v>2017</x:v>
      </x:c>
      <x:c r="D10" t="str">
        <x:v>2022</x:v>
      </x:c>
      <x:c r="E10"/>
      <x:c r="F10"/>
      <x:c r="G10"/>
    </x:row>
    <x:row r="11">
      <x:c r="A11" t="str">
        <x:v>HHI (0-10,000)</x:v>
      </x:c>
      <x:c r="B11" s="28" t="n">
        <x:f>SUM(E4:E8)*10000</x:f>
        <x:v>2772.4802000000004</x:v>
      </x:c>
      <x:c r="C11" s="28" t="n">
        <x:f>SUM(F4:F8)*10000</x:f>
        <x:v>4398.3731</x:v>
      </x:c>
      <x:c r="D11" s="28" t="n">
        <x:f>SUM(G4:G8)*10000</x:f>
        <x:v>4758.8223</x:v>
      </x:c>
      <x:c r="E11"/>
      <x:c r="F11"/>
      <x:c r="G11"/>
    </x:row>
    <x:row r="12">
      <x:c r="A12" t="str">
        <x:v>CR4</x:v>
      </x:c>
      <x:c r="B12" s="24" t="n">
        <x:f>SUM(B4:B7)</x:f>
        <x:v>0.9663000000000002</x:v>
      </x:c>
      <x:c r="C12" s="24" t="n">
        <x:f>SUM(LARGE(C4:C8,1),LARGE(C4:C8,2),LARGE(C4:C8,3),LARGE(C4:C8,4))</x:f>
        <x:v>0.9552999999999999</x:v>
      </x:c>
      <x:c r="D12" s="24" t="n">
        <x:f>SUM(LARGE(D4:D8,1),LARGE(D4:D8,2),LARGE(D4:D8,3),LARGE(D4:D8,4))</x:f>
        <x:v>0.9505</x:v>
      </x:c>
      <x:c r="E12"/>
      <x:c r="F12"/>
      <x:c r="G12"/>
    </x:row>
    <x:row r="13">
      <x:c r="A13" t="str">
        <x:v>Largest firm share</x:v>
      </x:c>
      <x:c r="B13" s="24" t="n">
        <x:f>MAX(B4:B8)</x:f>
        <x:v>0.3276</x:v>
      </x:c>
      <x:c r="C13" s="24" t="n">
        <x:f>MAX(C4:C8)</x:f>
        <x:v>0.6323</x:v>
      </x:c>
      <x:c r="D13" s="24" t="n">
        <x:f>MAX(D4:D8)</x:f>
        <x:v>0.6693</x:v>
      </x:c>
      <x:c r="E13"/>
      <x:c r="F13"/>
      <x:c r="G13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3f5f1a4fd6149d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35" hidden="0" customWidth="1"/>
  </x:cols>
  <x:sheetData>
    <x:row r="1" ht="28" customHeight="1">
      <x:c r="A1" s="5" t="str">
        <x:v>Credit-Card Issuer Market Concentration</x:v>
      </x:c>
    </x:row>
    <x:row r="3">
      <x:c r="A3" s="19" t="str">
        <x:v>Firm</x:v>
      </x:c>
      <x:c r="B3" s="19" t="str">
        <x:v>Base Share</x:v>
      </x:c>
      <x:c r="C3" s="19" t="str">
        <x:v>Post-Scenario Share</x:v>
      </x:c>
      <x:c r="D3" s="19" t="str">
        <x:v>Base Sq.</x:v>
      </x:c>
      <x:c r="E3" s="19" t="str">
        <x:v>Post Sq.</x:v>
      </x:c>
      <x:c r="F3" s="19" t="str">
        <x:v>Scenario Treatment</x:v>
      </x:c>
      <x:c r="G3" s="19" t="str">
        <x:v>Notes</x:v>
      </x:c>
    </x:row>
    <x:row r="4">
      <x:c r="A4" t="str">
        <x:v>Chase</x:v>
      </x:c>
      <x:c r="B4" s="24" t="n">
        <x:v>0.1654</x:v>
      </x:c>
      <x:c r="C4" s="24" t="n">
        <x:v>0.1654</x:v>
      </x:c>
      <x:c r="D4" s="26" t="n">
        <x:f>B4^2</x:f>
        <x:v>0.02735716</x:v>
      </x:c>
      <x:c r="E4" s="26" t="n">
        <x:f>C4^2</x:f>
        <x:v>0.02735716</x:v>
      </x:c>
      <x:c r="F4" t="str">
        <x:v>No change</x:v>
      </x:c>
      <x:c r="G4" t="str"/>
    </x:row>
    <x:row r="5">
      <x:c r="A5" t="str">
        <x:v>AmEx</x:v>
      </x:c>
      <x:c r="B5" s="24" t="n">
        <x:v>0.1236</x:v>
      </x:c>
      <x:c r="C5" s="24" t="n">
        <x:v>0.1236</x:v>
      </x:c>
      <x:c r="D5" s="26" t="n">
        <x:f>B5^2</x:f>
        <x:v>0.015276960000000001</x:v>
      </x:c>
      <x:c r="E5" s="26" t="n">
        <x:f>C5^2</x:f>
        <x:v>0.015276960000000001</x:v>
      </x:c>
      <x:c r="F5" t="str">
        <x:v>No change</x:v>
      </x:c>
      <x:c r="G5" t="str"/>
    </x:row>
    <x:row r="6">
      <x:c r="A6" t="str">
        <x:v>Citi</x:v>
      </x:c>
      <x:c r="B6" s="24" t="n">
        <x:v>0.1156</x:v>
      </x:c>
      <x:c r="C6" s="24" t="n">
        <x:v>0.1156</x:v>
      </x:c>
      <x:c r="D6" s="26" t="n">
        <x:f>B6^2</x:f>
        <x:v>0.01336336</x:v>
      </x:c>
      <x:c r="E6" s="26" t="n">
        <x:f>C6^2</x:f>
        <x:v>0.01336336</x:v>
      </x:c>
      <x:c r="F6" t="str">
        <x:v>No change</x:v>
      </x:c>
      <x:c r="G6" t="str"/>
    </x:row>
    <x:row r="7">
      <x:c r="A7" t="str">
        <x:v>Capital One</x:v>
      </x:c>
      <x:c r="B7" s="24" t="n">
        <x:v>0.1051</x:v>
      </x:c>
      <x:c r="C7" s="24" t="n">
        <x:v>0.1848</x:v>
      </x:c>
      <x:c r="D7" s="26" t="n">
        <x:f>B7^2</x:f>
        <x:v>0.01104601</x:v>
      </x:c>
      <x:c r="E7" s="26" t="n">
        <x:f>C7^2</x:f>
        <x:v>0.034151039999999994</x:v>
      </x:c>
      <x:c r="F7" t="str">
        <x:v>Combined with Discover</x:v>
      </x:c>
      <x:c r="G7" t="str"/>
    </x:row>
    <x:row r="8">
      <x:c r="A8" t="str">
        <x:v>BofA</x:v>
      </x:c>
      <x:c r="B8" s="24" t="n">
        <x:v>0.0992</x:v>
      </x:c>
      <x:c r="C8" s="24" t="n">
        <x:v>0.0992</x:v>
      </x:c>
      <x:c r="D8" s="26" t="n">
        <x:f>B8^2</x:f>
        <x:v>0.00984064</x:v>
      </x:c>
      <x:c r="E8" s="26" t="n">
        <x:f>C8^2</x:f>
        <x:v>0.00984064</x:v>
      </x:c>
      <x:c r="F8" t="str">
        <x:v>No change</x:v>
      </x:c>
      <x:c r="G8" t="str"/>
    </x:row>
    <x:row r="9">
      <x:c r="A9" t="str">
        <x:v>Discover</x:v>
      </x:c>
      <x:c r="B9" s="24" t="n">
        <x:v>0.0797</x:v>
      </x:c>
      <x:c r="C9" s="24" t="n">
        <x:v>0</x:v>
      </x:c>
      <x:c r="D9" s="26" t="n">
        <x:f>B9^2</x:f>
        <x:v>0.006352089999999999</x:v>
      </x:c>
      <x:c r="E9" s="26" t="n">
        <x:f>C9^2</x:f>
        <x:v>0</x:v>
      </x:c>
      <x:c r="F9" t="str">
        <x:v>Merged into Capital One</x:v>
      </x:c>
      <x:c r="G9" t="str"/>
    </x:row>
    <x:row r="10">
      <x:c r="A10" t="str">
        <x:v>US Bank</x:v>
      </x:c>
      <x:c r="B10" s="24" t="n">
        <x:v>0.043</x:v>
      </x:c>
      <x:c r="C10" s="24" t="n">
        <x:v>0.043</x:v>
      </x:c>
      <x:c r="D10" s="26" t="n">
        <x:f>B10^2</x:f>
        <x:v>0.0018489999999999997</x:v>
      </x:c>
      <x:c r="E10" s="26" t="n">
        <x:f>C10^2</x:f>
        <x:v>0.0018489999999999997</x:v>
      </x:c>
      <x:c r="F10" t="str">
        <x:v>No change</x:v>
      </x:c>
      <x:c r="G10" t="str"/>
    </x:row>
    <x:row r="11">
      <x:c r="A11" t="str">
        <x:v>Wells Fargo</x:v>
      </x:c>
      <x:c r="B11" s="24" t="n">
        <x:v>0.0373</x:v>
      </x:c>
      <x:c r="C11" s="24" t="n">
        <x:v>0.0373</x:v>
      </x:c>
      <x:c r="D11" s="26" t="n">
        <x:f>B11^2</x:f>
        <x:v>0.0013912899999999999</x:v>
      </x:c>
      <x:c r="E11" s="26" t="n">
        <x:f>C11^2</x:f>
        <x:v>0.0013912899999999999</x:v>
      </x:c>
      <x:c r="F11" t="str">
        <x:v>No change</x:v>
      </x:c>
      <x:c r="G11" t="str"/>
    </x:row>
    <x:row r="12">
      <x:c r="A12" t="str">
        <x:v>Barclays</x:v>
      </x:c>
      <x:c r="B12" s="24" t="n">
        <x:v>0.0237</x:v>
      </x:c>
      <x:c r="C12" s="24" t="n">
        <x:v>0.0237</x:v>
      </x:c>
      <x:c r="D12" s="26" t="n">
        <x:f>B12^2</x:f>
        <x:v>0.00056169</x:v>
      </x:c>
      <x:c r="E12" s="26" t="n">
        <x:f>C12^2</x:f>
        <x:v>0.00056169</x:v>
      </x:c>
      <x:c r="F12" t="str">
        <x:v>No change</x:v>
      </x:c>
      <x:c r="G12" t="str"/>
    </x:row>
    <x:row r="13">
      <x:c r="A13" t="str">
        <x:v>Navy FCU</x:v>
      </x:c>
      <x:c r="B13" s="24" t="n">
        <x:v>0.0233</x:v>
      </x:c>
      <x:c r="C13" s="24" t="n">
        <x:v>0.0233</x:v>
      </x:c>
      <x:c r="D13" s="26" t="n">
        <x:f>B13^2</x:f>
        <x:v>0.0005428900000000001</x:v>
      </x:c>
      <x:c r="E13" s="26" t="n">
        <x:f>C13^2</x:f>
        <x:v>0.0005428900000000001</x:v>
      </x:c>
      <x:c r="F13" t="str">
        <x:v>No change</x:v>
      </x:c>
      <x:c r="G13" t="str"/>
    </x:row>
    <x:row r="14">
      <x:c r="A14" t="str">
        <x:v>Synchrony</x:v>
      </x:c>
      <x:c r="B14" s="24" t="n">
        <x:v>0.0229</x:v>
      </x:c>
      <x:c r="C14" s="24" t="n">
        <x:v>0.0229</x:v>
      </x:c>
      <x:c r="D14" s="26" t="n">
        <x:f>B14^2</x:f>
        <x:v>0.00052441</x:v>
      </x:c>
      <x:c r="E14" s="26" t="n">
        <x:f>C14^2</x:f>
        <x:v>0.00052441</x:v>
      </x:c>
      <x:c r="F14" t="str">
        <x:v>No change</x:v>
      </x:c>
      <x:c r="G14" t="str"/>
    </x:row>
    <x:row r="15">
      <x:c r="A15" t="str">
        <x:v>USAA</x:v>
      </x:c>
      <x:c r="B15" s="24" t="n">
        <x:v>0.0155</x:v>
      </x:c>
      <x:c r="C15" s="24" t="n">
        <x:v>0.0155</x:v>
      </x:c>
      <x:c r="D15" s="26" t="n">
        <x:f>B15^2</x:f>
        <x:v>0.00024024999999999999</x:v>
      </x:c>
      <x:c r="E15" s="26" t="n">
        <x:f>C15^2</x:f>
        <x:v>0.00024024999999999999</x:v>
      </x:c>
      <x:c r="F15" t="str">
        <x:v>No change</x:v>
      </x:c>
      <x:c r="G15" t="str"/>
    </x:row>
    <x:row r="16">
      <x:c r="A16" t="str">
        <x:v>Credit One</x:v>
      </x:c>
      <x:c r="B16" s="24" t="n">
        <x:v>0.0088</x:v>
      </x:c>
      <x:c r="C16" s="24" t="n">
        <x:v>0.0088</x:v>
      </x:c>
      <x:c r="D16" s="26" t="n">
        <x:f>B16^2</x:f>
        <x:v>0.00007744</x:v>
      </x:c>
      <x:c r="E16" s="26" t="n">
        <x:f>C16^2</x:f>
        <x:v>0.00007744</x:v>
      </x:c>
      <x:c r="F16" t="str">
        <x:v>No change</x:v>
      </x:c>
      <x:c r="G16" t="str"/>
    </x:row>
    <x:row r="17">
      <x:c r="A17" t="str">
        <x:v>Goldman</x:v>
      </x:c>
      <x:c r="B17" s="24" t="n">
        <x:v>0.0088</x:v>
      </x:c>
      <x:c r="C17" s="24" t="n">
        <x:v>0.0088</x:v>
      </x:c>
      <x:c r="D17" s="26" t="n">
        <x:f>B17^2</x:f>
        <x:v>0.00007744</x:v>
      </x:c>
      <x:c r="E17" s="26" t="n">
        <x:f>C17^2</x:f>
        <x:v>0.00007744</x:v>
      </x:c>
      <x:c r="F17" t="str">
        <x:v>No change</x:v>
      </x:c>
      <x:c r="G17" t="str"/>
    </x:row>
    <x:row r="18">
      <x:c r="A18" t="str">
        <x:v>PNC</x:v>
      </x:c>
      <x:c r="B18" s="24" t="n">
        <x:v>0.0086</x:v>
      </x:c>
      <x:c r="C18" s="24" t="n">
        <x:v>0.0086</x:v>
      </x:c>
      <x:c r="D18" s="26" t="n">
        <x:f>B18^2</x:f>
        <x:v>0.00007396</x:v>
      </x:c>
      <x:c r="E18" s="26" t="n">
        <x:f>C18^2</x:f>
        <x:v>0.00007396</x:v>
      </x:c>
      <x:c r="F18" t="str">
        <x:v>No change</x:v>
      </x:c>
      <x:c r="G18" t="str"/>
    </x:row>
    <x:row r="19">
      <x:c r="A19" t="str">
        <x:v>Other</x:v>
      </x:c>
      <x:c r="B19" s="24" t="n">
        <x:v>0.1195</x:v>
      </x:c>
      <x:c r="C19" s="24" t="n">
        <x:v>0.1195</x:v>
      </x:c>
      <x:c r="D19" s="26" t="n">
        <x:f>B19^2</x:f>
        <x:v>0.01428025</x:v>
      </x:c>
      <x:c r="E19" s="26" t="n">
        <x:f>C19^2</x:f>
        <x:v>0.01428025</x:v>
      </x:c>
      <x:c r="F19" t="str">
        <x:v>No change</x:v>
      </x:c>
      <x:c r="G19" t="str"/>
    </x:row>
    <x:row r="21">
      <x:c r="A21" s="19" t="str">
        <x:v>Metric</x:v>
      </x:c>
      <x:c r="B21" s="19" t="str">
        <x:v>Base</x:v>
      </x:c>
      <x:c r="C21" s="19" t="str">
        <x:v>Post-scenario</x:v>
      </x:c>
      <x:c r="D21" s="19" t="str">
        <x:v>Change</x:v>
      </x:c>
      <x:c r="E21" s="19" t="str"/>
    </x:row>
    <x:row r="22">
      <x:c r="A22" t="str">
        <x:v>HHI named issuers only</x:v>
      </x:c>
      <x:c r="B22" s="28" t="n">
        <x:f>SUM(D4:D18)*10000</x:f>
        <x:v>885.7459000000001</x:v>
      </x:c>
      <x:c r="C22" s="28" t="n">
        <x:f>SUM(E4:E18)*10000</x:f>
        <x:v>1053.2752999999998</x:v>
      </x:c>
      <x:c r="D22" s="28" t="n">
        <x:f>C22-B22</x:f>
        <x:v>167.52939999999967</x:v>
      </x:c>
      <x:c r="E22" t="str"/>
    </x:row>
    <x:row r="23">
      <x:c r="A23" t="str">
        <x:v>HHI including Other as one bucket</x:v>
      </x:c>
      <x:c r="B23" s="28" t="n">
        <x:f>SUM(D4:D19)*10000</x:f>
        <x:v>1028.5484000000001</x:v>
      </x:c>
      <x:c r="C23" s="28" t="n">
        <x:f>SUM(E4:E19)*10000</x:f>
        <x:v>1196.0777999999998</x:v>
      </x:c>
      <x:c r="D23" s="28" t="n">
        <x:f>C23-B23</x:f>
        <x:v>167.52939999999967</x:v>
      </x:c>
      <x:c r="E23" t="str"/>
    </x:row>
    <x:row r="24">
      <x:c r="A24" t="str">
        <x:v>CR4 base</x:v>
      </x:c>
      <x:c r="B24" s="24" t="n">
        <x:f>SUM(LARGE(B4:B19,1),LARGE(B4:B19,2),LARGE(B4:B19,3),LARGE(B4:B19,4))</x:f>
        <x:v>0.5241</x:v>
      </x:c>
      <x:c r="C24" t="str"/>
      <x:c r="D24" t="str"/>
      <x:c r="E24" t="str"/>
    </x:row>
    <x:row r="25">
      <x:c r="A25" t="str">
        <x:v>CR5 base</x:v>
      </x:c>
      <x:c r="B25" s="24" t="n">
        <x:f>SUM(LARGE(B4:B19,1),LARGE(B4:B19,2),LARGE(B4:B19,3),LARGE(B4:B19,4),LARGE(B4:B19,5))</x:f>
        <x:v>0.6292</x:v>
      </x:c>
      <x:c r="C25" t="str"/>
      <x:c r="D25" t="str"/>
      <x:c r="E25" t="str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5ade283adb3d4f7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60" hidden="0" customWidth="1"/>
  </x:cols>
  <x:sheetData>
    <x:row r="1" ht="28" customHeight="1">
      <x:c r="A1" s="5" t="str">
        <x:v>Case Study Summary and Portfolio Takeaways</x:v>
      </x:c>
    </x:row>
    <x:row r="3">
      <x:c r="A3" s="19" t="str">
        <x:v>Case</x:v>
      </x:c>
      <x:c r="B3" s="19" t="str">
        <x:v>Metric</x:v>
      </x:c>
      <x:c r="C3" s="19" t="str">
        <x:v>Starting point</x:v>
      </x:c>
      <x:c r="D3" s="19" t="str">
        <x:v>Ending / scenario</x:v>
      </x:c>
      <x:c r="E3" s="19" t="str">
        <x:v>Interpretation</x:v>
      </x:c>
    </x:row>
    <x:row r="4">
      <x:c r="A4" s="14" t="str">
        <x:v>Browser industry</x:v>
      </x:c>
      <x:c r="B4" s="14" t="str">
        <x:v>HHI</x:v>
      </x:c>
      <x:c r="C4" s="30" t="n">
        <x:f>Browser_HHI!B11</x:f>
        <x:v>2772.4802000000004</x:v>
      </x:c>
      <x:c r="D4" s="30" t="n">
        <x:f>Browser_HHI!D11</x:f>
        <x:v>4758.8223</x:v>
      </x:c>
      <x:c r="E4" s="14" t="str">
        <x:v>HHI rises sharply as Google Chrome becomes more dominant.</x:v>
      </x:c>
    </x:row>
    <x:row r="5">
      <x:c r="A5" s="14" t="str">
        <x:v>Browser industry</x:v>
      </x:c>
      <x:c r="B5" s="14" t="str">
        <x:v>CR4</x:v>
      </x:c>
      <x:c r="C5" s="31" t="n">
        <x:f>Browser_HHI!B12</x:f>
        <x:v>0.9663000000000002</x:v>
      </x:c>
      <x:c r="D5" s="31" t="n">
        <x:f>Browser_HHI!D12</x:f>
        <x:v>0.9505</x:v>
      </x:c>
      <x:c r="E5" s="14" t="str">
        <x:v>CR4 stays high, showing that HHI captures dominance within the top group better than CR4 alone.</x:v>
      </x:c>
    </x:row>
    <x:row r="6">
      <x:c r="A6" s="14" t="str">
        <x:v>Browser industry</x:v>
      </x:c>
      <x:c r="B6" s="14" t="str">
        <x:v>Largest firm share</x:v>
      </x:c>
      <x:c r="C6" s="31" t="n">
        <x:f>Browser_HHI!B13</x:f>
        <x:v>0.3276</x:v>
      </x:c>
      <x:c r="D6" s="31" t="n">
        <x:f>Browser_HHI!D13</x:f>
        <x:v>0.6693</x:v>
      </x:c>
      <x:c r="E6" s="14" t="str">
        <x:v>Largest firm share grows substantially over the period.</x:v>
      </x:c>
    </x:row>
    <x:row r="7">
      <x:c r="A7" s="14" t="str">
        <x:v>Credit-card issuers</x:v>
      </x:c>
      <x:c r="B7" s="14" t="str">
        <x:v>HHI named issuers</x:v>
      </x:c>
      <x:c r="C7" s="30" t="n">
        <x:f>Issuer_HHI!B22</x:f>
        <x:v>885.7459000000001</x:v>
      </x:c>
      <x:c r="D7" s="30" t="n">
        <x:f>Issuer_HHI!B22</x:f>
        <x:v>885.7459000000001</x:v>
      </x:c>
      <x:c r="E7" s="14" t="str">
        <x:v>Issuer market is less concentrated than browser market in this case study.</x:v>
      </x:c>
    </x:row>
    <x:row r="8">
      <x:c r="A8" s="14" t="str">
        <x:v>Credit-card issuers</x:v>
      </x:c>
      <x:c r="B8" s="14" t="str">
        <x:v>Post-scenario HHI</x:v>
      </x:c>
      <x:c r="C8" s="30" t="n">
        <x:f>Issuer_HHI!B22</x:f>
        <x:v>885.7459000000001</x:v>
      </x:c>
      <x:c r="D8" s="30" t="n">
        <x:f>Issuer_HHI!C22</x:f>
        <x:v>1053.2752999999998</x:v>
      </x:c>
      <x:c r="E8" s="14" t="str">
        <x:v>Combining Capital One and Discover raises HHI in the scenario.</x:v>
      </x:c>
    </x:row>
    <x:row r="9">
      <x:c r="A9" s="14" t="str">
        <x:v>Credit-card issuers</x:v>
      </x:c>
      <x:c r="B9" s="14" t="str">
        <x:v>Delta HHI</x:v>
      </x:c>
      <x:c r="C9" s="30" t="n">
        <x:f>Issuer_HHI!D22</x:f>
        <x:v>167.52939999999967</x:v>
      </x:c>
      <x:c r="D9" s="30" t="n">
        <x:f>Issuer_HHI!D22</x:f>
        <x:v>167.52939999999967</x:v>
      </x:c>
      <x:c r="E9" s="14" t="str">
        <x:v>Delta HHI illustrates how merger analysis recomputes concentration after shares are combined.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e575bb7a406427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8" customHeight="1">
      <x:c r="A1" s="5" t="str">
        <x:v>Market Concentration Dashboard</x:v>
      </x:c>
    </x:row>
    <x:row r="3">
      <x:c r="A3" s="19" t="str">
        <x:v>Metric</x:v>
      </x:c>
      <x:c r="B3" s="19" t="str">
        <x:v>Browser 2012</x:v>
      </x:c>
      <x:c r="C3" s="19" t="str">
        <x:v>Browser 2022</x:v>
      </x:c>
      <x:c r="D3" s="19" t="str">
        <x:v>Change</x:v>
      </x:c>
    </x:row>
    <x:row r="4">
      <x:c r="A4" t="str">
        <x:v>HHI</x:v>
      </x:c>
      <x:c r="B4" s="28" t="n">
        <x:f>Browser_HHI!B11</x:f>
        <x:v>2772.4802000000004</x:v>
      </x:c>
      <x:c r="C4" s="28" t="n">
        <x:f>Browser_HHI!D11</x:f>
        <x:v>4758.8223</x:v>
      </x:c>
      <x:c r="D4" s="28" t="n">
        <x:f>C4-B4</x:f>
        <x:v>1986.3420999999994</x:v>
      </x:c>
    </x:row>
    <x:row r="5">
      <x:c r="A5" t="str">
        <x:v>CR4</x:v>
      </x:c>
      <x:c r="B5" s="24" t="n">
        <x:f>Browser_HHI!B12</x:f>
        <x:v>0.9663000000000002</x:v>
      </x:c>
      <x:c r="C5" s="24" t="n">
        <x:f>Browser_HHI!D12</x:f>
        <x:v>0.9505</x:v>
      </x:c>
      <x:c r="D5" s="24" t="n">
        <x:f>C5-B5</x:f>
        <x:v>-0.015800000000000147</x:v>
      </x:c>
    </x:row>
    <x:row r="6">
      <x:c r="A6" t="str">
        <x:v>Largest firm share</x:v>
      </x:c>
      <x:c r="B6" s="24" t="n">
        <x:f>Browser_HHI!B13</x:f>
        <x:v>0.3276</x:v>
      </x:c>
      <x:c r="C6" s="24" t="n">
        <x:f>Browser_HHI!D13</x:f>
        <x:v>0.6693</x:v>
      </x:c>
      <x:c r="D6" s="24" t="n">
        <x:f>C6-B6</x:f>
        <x:v>0.3417</x:v>
      </x:c>
    </x:row>
    <x:row r="8">
      <x:c r="A8" s="19" t="str">
        <x:v>Metric</x:v>
      </x:c>
      <x:c r="B8" s="19" t="str">
        <x:v>Base</x:v>
      </x:c>
      <x:c r="C8" s="19" t="str">
        <x:v>Scenario</x:v>
      </x:c>
      <x:c r="D8" s="19" t="str">
        <x:v>Change</x:v>
      </x:c>
    </x:row>
    <x:row r="9">
      <x:c r="A9" t="str">
        <x:v>Issuer HHI</x:v>
      </x:c>
      <x:c r="B9" s="28" t="n">
        <x:f>Issuer_HHI!B22</x:f>
        <x:v>885.7459000000001</x:v>
      </x:c>
      <x:c r="C9" s="28" t="n">
        <x:f>Issuer_HHI!C22</x:f>
        <x:v>1053.2752999999998</x:v>
      </x:c>
      <x:c r="D9" s="28" t="n">
        <x:f>Issuer_HHI!D22</x:f>
        <x:v>167.52939999999967</x:v>
      </x:c>
    </x:row>
    <x:row r="10">
      <x:c r="A10" t="str">
        <x:v>Delta HHI</x:v>
      </x:c>
      <x:c r="B10" s="28" t="str"/>
      <x:c r="C10" s="28" t="str"/>
      <x:c r="D10" s="28" t="n">
        <x:f>Issuer_HHI!D22</x:f>
        <x:v>167.52939999999967</x:v>
      </x:c>
    </x:row>
    <x:row r="13">
      <x:c r="A13" s="16" t="str">
        <x:v>Dashboard note</x:v>
      </x:c>
    </x:row>
    <x:row r="14" ht="45" customHeight="1">
      <x:c r="A14" s="14" t="str">
        <x:v>The workbook demonstrates how HHI and CR4 are calculated from market-share data. Browser shares are aggregated at the firm level before HHI is computed.</x:v>
      </x:c>
    </x:row>
    <x:row r="15">
      <x:c r="A15" s="14" t="str"/>
    </x:row>
    <x:row r="16">
      <x:c r="A16" s="17" t="str">
        <x:v>Interpretive caution</x:v>
      </x:c>
    </x:row>
    <x:row r="17" ht="55" customHeight="1">
      <x:c r="A17" s="14" t="str">
        <x:v>These case studies show market-structure analysis. They should not be read as legal conclusions about market power, conduct, or merger enforcement.</x:v>
      </x:c>
    </x:row>
    <x:row r="18">
      <x:c r="A18" s="14" t="str"/>
    </x:row>
    <x:row r="19">
      <x:c r="A19" s="17" t="str">
        <x:v>Portfolio use</x:v>
      </x:c>
    </x:row>
    <x:row r="20" ht="45" customHeight="1">
      <x:c r="A20" s="14" t="str">
        <x:v>Use this workbook as a transparent, formula-driven supplement to the written case-study report.</x:v>
      </x:c>
    </x:row>
  </x:sheetData>
  <x:mergeCells>
    <x:mergeCell ref="A1:J1"/>
    <x:mergeCell ref="A13:D13"/>
    <x:mergeCell ref="A14:D14"/>
    <x:mergeCell ref="A16:D16"/>
    <x:mergeCell ref="A17:D17"/>
    <x:mergeCell ref="A19:D19"/>
    <x:mergeCell ref="A20:D20"/>
  </x:mergeCells>
  <x:pageMargins left="0.7" right="0.7" top="0.75" bottom="0.75" header="0.3" footer="0.3"/>
  <x:drawing xmlns:r="http://schemas.openxmlformats.org/officeDocument/2006/relationships" r:id="R1ea79d40c2714819"/>
</x:worksheet>
</file>