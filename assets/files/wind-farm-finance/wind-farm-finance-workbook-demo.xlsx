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c0a54dfdd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876ddaaabd041a5"/>
    <x:sheet xmlns:r="http://schemas.openxmlformats.org/officeDocument/2006/relationships" name="Inputs" sheetId="2" r:id="Rf2912f96cfa64ae2"/>
    <x:sheet xmlns:r="http://schemas.openxmlformats.org/officeDocument/2006/relationships" name="Financing" sheetId="3" r:id="Rb64d9e33a23a4e43"/>
    <x:sheet xmlns:r="http://schemas.openxmlformats.org/officeDocument/2006/relationships" name="Cash_Flow_Model" sheetId="4" r:id="R5ae14cf1f9f74949"/>
    <x:sheet xmlns:r="http://schemas.openxmlformats.org/officeDocument/2006/relationships" name="Covenants" sheetId="5" r:id="R6a66b1215c78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%"/>
    <x:numFmt numFmtId="202" formatCode="0.00"/>
  </x:numFmts>
  <x:fonts count="4">
    <x:font>
      <x:sz val="11"/>
      <x:name val="Carlito"/>
    </x:font>
    <x:font>
      <x:b/>
      <x:sz val="15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4be791de64365" /><Relationship Type="http://schemas.openxmlformats.org/officeDocument/2006/relationships/theme" Target="/xl/theme/theme1.xml" Id="R8f88cc2e443f405d" /><Relationship Type="http://schemas.openxmlformats.org/officeDocument/2006/relationships/sharedStrings" Target="/xl/sharedStrings.xml" Id="R03f2a14107464adb" /><Relationship Type="http://schemas.openxmlformats.org/officeDocument/2006/relationships/worksheet" Target="/xl/worksheets/sheet1.xml" Id="Rb876ddaaabd041a5" /><Relationship Type="http://schemas.openxmlformats.org/officeDocument/2006/relationships/worksheet" Target="/xl/worksheets/sheet2.xml" Id="Rf2912f96cfa64ae2" /><Relationship Type="http://schemas.openxmlformats.org/officeDocument/2006/relationships/worksheet" Target="/xl/worksheets/sheet3.xml" Id="Rb64d9e33a23a4e43" /><Relationship Type="http://schemas.openxmlformats.org/officeDocument/2006/relationships/worksheet" Target="/xl/worksheets/sheet4.xml" Id="R5ae14cf1f9f74949" /><Relationship Type="http://schemas.openxmlformats.org/officeDocument/2006/relationships/worksheet" Target="/xl/worksheets/sheet5.xml" Id="R6a66b1215c7841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3341ebd78142c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Revenue</c:v>
          </c:tx>
          <c:cat>
            <c:strRef>
              <c:f>'Cash_Flow_Model'!$B$3:$J$3</c:f>
              <c:strCache>
                <c:ptCount val="0"/>
              </c:strCache>
            </c:strRef>
          </c:cat>
          <c:val>
            <c:numRef>
              <c:f>'Cash_Flow_Model'!$B$4:$J$4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cat>
            <c:strRef>
              <c:f>'Cash_Flow_Model'!$B$3:$J$3</c:f>
              <c:strCache>
                <c:ptCount val="0"/>
              </c:strCache>
            </c:strRef>
          </c:cat>
          <c:val>
            <c:numRef>
              <c:f>'Cash_Flow_Model'!$B$6:$J$6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Debt service + fees</c:v>
          </c:tx>
          <c:cat>
            <c:strRef>
              <c:f>'Cash_Flow_Model'!$B$3:$J$3</c:f>
              <c:strCache>
                <c:ptCount val="0"/>
              </c:strCache>
            </c:strRef>
          </c:cat>
          <c:val>
            <c:numRef>
              <c:f>'Cash_Flow_Model'!$B$15:$J$15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tx>
            <c:v>Free cash flow</c:v>
          </c:tx>
          <c:cat>
            <c:strRef>
              <c:f>'Cash_Flow_Model'!$B$3:$J$3</c:f>
              <c:strCache>
                <c:ptCount val="0"/>
              </c:strCache>
            </c:strRef>
          </c:cat>
          <c:val>
            <c:numRef>
              <c:f>'Cash_Flow_Model'!$B$17:$J$17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3341ebd78142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putTable" displayName="InputTable" ref="A3:J14" headerRowCount="1">
  <x:tableColumns count="10">
    <x:tableColumn id="1" name="Input"/>
    <x:tableColumn id="2" name="Year 1"/>
    <x:tableColumn id="3" name="Year 2"/>
    <x:tableColumn id="4" name="Year 3"/>
    <x:tableColumn id="5" name="Year 4"/>
    <x:tableColumn id="6" name="Year 5"/>
    <x:tableColumn id="7" name="Year 6"/>
    <x:tableColumn id="8" name="Year 7"/>
    <x:tableColumn id="9" name="Year 8"/>
    <x:tableColumn id="10" name="Year 9"/>
  </x:tableColumns>
  <x:tableStyleInfo name="TableStyleMedium2" showRowStripes="1"/>
</x:table>
</file>

<file path=xl/tables/table2.xml><?xml version="1.0" encoding="utf-8"?>
<x:table xmlns:x="http://schemas.openxmlformats.org/spreadsheetml/2006/main" id="2" name="FinancingTable" displayName="FinancingTable" ref="A3:F9" headerRowCount="1">
  <x:tableColumns count="6">
    <x:tableColumn id="1" name="Item"/>
    <x:tableColumn id="2" name="Amount"/>
    <x:tableColumn id="3" name="% of $500M need"/>
    <x:tableColumn id="4" name="Cost / rate"/>
    <x:tableColumn id="5" name="Repayment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ashFlowTable" displayName="CashFlowTable" ref="A3:J18" headerRowCount="1">
  <x:tableColumns count="10">
    <x:tableColumn id="1" name="Line item"/>
    <x:tableColumn id="2" name="Year 1"/>
    <x:tableColumn id="3" name="Year 2"/>
    <x:tableColumn id="4" name="Year 3"/>
    <x:tableColumn id="5" name="Year 4"/>
    <x:tableColumn id="6" name="Year 5"/>
    <x:tableColumn id="7" name="Year 6"/>
    <x:tableColumn id="8" name="Year 7"/>
    <x:tableColumn id="9" name="Year 8"/>
    <x:tableColumn id="10" name="Year 9"/>
  </x:tableColumns>
  <x:tableStyleInfo name="TableStyleMedium2" showRowStripes="1"/>
</x:table>
</file>

<file path=xl/tables/table4.xml><?xml version="1.0" encoding="utf-8"?>
<x:table xmlns:x="http://schemas.openxmlformats.org/spreadsheetml/2006/main" id="4" name="ScenarioTable" displayName="ScenarioTable" ref="A3:H6" headerRowCount="1">
  <x:tableColumns count="8">
    <x:tableColumn id="1" name="Scenario"/>
    <x:tableColumn id="2" name="Operating stress"/>
    <x:tableColumn id="3" name="ROE"/>
    <x:tableColumn id="4" name="Min ADSCR"/>
    <x:tableColumn id="5" name="Min LLCR"/>
    <x:tableColumn id="6" name="Min ICR"/>
    <x:tableColumn id="7" name="Total dividends"/>
    <x:tableColumn id="8" name="Covena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5cd69ec8b341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647ded128f44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0da67113fae40ef" /><Relationship Type="http://schemas.openxmlformats.org/officeDocument/2006/relationships/table" Target="/xl/tables/table3.xml" Id="R837e3fcaf7704e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751ec30dde49e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Wind Farm Project Finance Workbook Demo</x:v>
      </x:c>
    </x:row>
    <x:row r="3">
      <x:c r="A3" s="11" t="str">
        <x:v>Purpose</x:v>
      </x:c>
      <x:c r="B3" s="14" t="str">
        <x:v>Cleaned portfolio workbook demonstrating project-finance cash-flow modeling and covenant review.</x:v>
      </x:c>
    </x:row>
    <x:row r="4">
      <x:c r="A4" s="11" t="str">
        <x:v>Course context</x:v>
      </x:c>
      <x:c r="B4" s="14" t="str">
        <x:v>FIN-416 Commercial Bank Management</x:v>
      </x:c>
    </x:row>
    <x:row r="5">
      <x:c r="A5" s="11" t="str">
        <x:v>Project</x:v>
      </x:c>
      <x:c r="B5" s="14" t="str">
        <x:v>Wind Renewables Inc. wind power facility financing case</x:v>
      </x:c>
    </x:row>
    <x:row r="6">
      <x:c r="A6" s="11" t="str">
        <x:v>Capital need</x:v>
      </x:c>
      <x:c r="B6" s="14" t="str">
        <x:v>$500 million</x:v>
      </x:c>
    </x:row>
    <x:row r="7">
      <x:c r="A7" s="11" t="str">
        <x:v>Financing instruments</x:v>
      </x:c>
      <x:c r="B7" s="14" t="str">
        <x:v>Senior debt, mezzanine capital, sponsor equity, and limited-recourse support</x:v>
      </x:c>
    </x:row>
    <x:row r="8">
      <x:c r="A8" s="11" t="str">
        <x:v>Primary question</x:v>
      </x:c>
      <x:c r="B8" s="14" t="str">
        <x:v>Can the project be financed while satisfying bank covenants and preserving sponsor return?</x:v>
      </x:c>
    </x:row>
    <x:row r="9">
      <x:c r="A9" s="11" t="str">
        <x:v>Portfolio note</x:v>
      </x:c>
      <x:c r="B9" s="14" t="str">
        <x:v>This is a cleaned demonstration workbook, not the full original class template.</x:v>
      </x:c>
    </x:row>
    <x:row r="10">
      <x:c r="A10" s="11" t="str">
        <x:v>Scenarios included</x:v>
      </x:c>
      <x:c r="B10" s="14" t="str">
        <x:v>Base case, 3% MWh stress, and combined MWh/price stress summary</x:v>
      </x:c>
    </x:row>
    <x:row r="11">
      <x:c r="A11" s="11" t="str">
        <x:v>Created</x:v>
      </x:c>
      <x:c r="B11" s="14" t="str">
        <x:v>2026-06-10</x:v>
      </x:c>
    </x:row>
    <x:row r="12">
      <x:c r="A12" s="11" t="str">
        <x:v>Key outputs</x:v>
      </x:c>
      <x:c r="B12" s="14" t="str">
        <x:v>ROE, free cash flow, ADSCR, LLCR, ICR, and value-of-capital logic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8" customHeight="1">
      <x:c r="A1" s="5" t="str">
        <x:v>Base-Case Inputs</x:v>
      </x:c>
    </x:row>
    <x:row r="3">
      <x:c r="A3" s="19" t="str">
        <x:v>Input</x:v>
      </x:c>
      <x:c r="B3" s="19" t="str">
        <x:v>Year 1</x:v>
      </x:c>
      <x:c r="C3" s="19" t="str">
        <x:v>Year 2</x:v>
      </x:c>
      <x:c r="D3" s="19" t="str">
        <x:v>Year 3</x:v>
      </x:c>
      <x:c r="E3" s="19" t="str">
        <x:v>Year 4</x:v>
      </x:c>
      <x:c r="F3" s="19" t="str">
        <x:v>Year 5</x:v>
      </x:c>
      <x:c r="G3" s="19" t="str">
        <x:v>Year 6</x:v>
      </x:c>
      <x:c r="H3" s="19" t="str">
        <x:v>Year 7</x:v>
      </x:c>
      <x:c r="I3" s="19" t="str">
        <x:v>Year 8</x:v>
      </x:c>
      <x:c r="J3" s="19" t="str">
        <x:v>Year 9</x:v>
      </x:c>
    </x:row>
    <x:row r="4">
      <x:c r="A4" t="str">
        <x:v>Electricity sold (MWh)</x:v>
      </x:c>
      <x:c r="B4" t="n">
        <x:v>0</x:v>
      </x:c>
      <x:c r="C4" t="n">
        <x:v>7000000</x:v>
      </x:c>
      <x:c r="D4" t="n">
        <x:v>10000000</x:v>
      </x:c>
      <x:c r="E4" t="n">
        <x:v>10000000</x:v>
      </x:c>
      <x:c r="F4" t="n">
        <x:v>10000000</x:v>
      </x:c>
      <x:c r="G4" t="n">
        <x:v>10000000</x:v>
      </x:c>
      <x:c r="H4" t="n">
        <x:v>10000000</x:v>
      </x:c>
      <x:c r="I4" t="n">
        <x:v>10000000</x:v>
      </x:c>
      <x:c r="J4" t="n">
        <x:v>10000000</x:v>
      </x:c>
    </x:row>
    <x:row r="5">
      <x:c r="A5" t="str">
        <x:v>Price per MWh</x:v>
      </x:c>
      <x:c r="B5" t="n">
        <x:v>0</x:v>
      </x:c>
      <x:c r="C5" t="n">
        <x:v>15</x:v>
      </x:c>
      <x:c r="D5" t="n">
        <x:v>18</x:v>
      </x:c>
      <x:c r="E5" t="n">
        <x:v>18</x:v>
      </x:c>
      <x:c r="F5" t="n">
        <x:v>18</x:v>
      </x:c>
      <x:c r="G5" t="n">
        <x:v>18</x:v>
      </x:c>
      <x:c r="H5" t="n">
        <x:v>18</x:v>
      </x:c>
      <x:c r="I5" t="n">
        <x:v>18</x:v>
      </x:c>
      <x:c r="J5" t="n">
        <x:v>18</x:v>
      </x:c>
    </x:row>
    <x:row r="6">
      <x:c r="A6" t="str">
        <x:v>Total operating costs</x:v>
      </x:c>
      <x:c r="B6" s="24" t="n">
        <x:v>23400000</x:v>
      </x:c>
      <x:c r="C6" s="24" t="n">
        <x:v>32400000</x:v>
      </x:c>
      <x:c r="D6" s="24" t="n">
        <x:v>32400000</x:v>
      </x:c>
      <x:c r="E6" s="24" t="n">
        <x:v>32400000</x:v>
      </x:c>
      <x:c r="F6" s="24" t="n">
        <x:v>32400000</x:v>
      </x:c>
      <x:c r="G6" s="24" t="n">
        <x:v>32400000</x:v>
      </x:c>
      <x:c r="H6" s="24" t="n">
        <x:v>32400000</x:v>
      </x:c>
      <x:c r="I6" s="24" t="n">
        <x:v>32400000</x:v>
      </x:c>
      <x:c r="J6" s="24" t="n">
        <x:v>32400000</x:v>
      </x:c>
    </x:row>
    <x:row r="7">
      <x:c r="A7" t="str">
        <x:v>Building depreciation</x:v>
      </x:c>
      <x:c r="B7" s="24" t="n">
        <x:v>1200000</x:v>
      </x:c>
      <x:c r="C7" s="24" t="n">
        <x:v>1200000</x:v>
      </x:c>
      <x:c r="D7" s="24" t="n">
        <x:v>1200000</x:v>
      </x:c>
      <x:c r="E7" s="24" t="n">
        <x:v>1200000</x:v>
      </x:c>
      <x:c r="F7" s="24" t="n">
        <x:v>1200000</x:v>
      </x:c>
      <x:c r="G7" s="24" t="n">
        <x:v>1200000</x:v>
      </x:c>
      <x:c r="H7" s="24" t="n">
        <x:v>1200000</x:v>
      </x:c>
      <x:c r="I7" s="24" t="n">
        <x:v>1200000</x:v>
      </x:c>
      <x:c r="J7" s="24" t="n">
        <x:v>1200000</x:v>
      </x:c>
    </x:row>
    <x:row r="8">
      <x:c r="A8" t="str">
        <x:v>Turbine depreciation</x:v>
      </x:c>
      <x:c r="B8" s="24" t="n">
        <x:v>90000000</x:v>
      </x:c>
      <x:c r="C8" s="24" t="n">
        <x:v>81000000</x:v>
      </x:c>
      <x:c r="D8" s="24" t="n">
        <x:v>72000000</x:v>
      </x:c>
      <x:c r="E8" s="24" t="n">
        <x:v>63000000</x:v>
      </x:c>
      <x:c r="F8" s="24" t="n">
        <x:v>54000000</x:v>
      </x:c>
      <x:c r="G8" s="24" t="n">
        <x:v>36000000</x:v>
      </x:c>
      <x:c r="H8" s="24" t="n">
        <x:v>27000000</x:v>
      </x:c>
      <x:c r="I8" s="24" t="n">
        <x:v>18000000</x:v>
      </x:c>
      <x:c r="J8" s="24" t="n">
        <x:v>9000000</x:v>
      </x:c>
    </x:row>
    <x:row r="9">
      <x:c r="A9" t="str">
        <x:v>Tax paid</x:v>
      </x:c>
      <x:c r="B9" s="24" t="n">
        <x:v>0</x:v>
      </x:c>
      <x:c r="C9" s="24" t="n">
        <x:v>0</x:v>
      </x:c>
      <x:c r="D9" s="24" t="n">
        <x:v>0</x:v>
      </x:c>
      <x:c r="E9" s="24" t="n">
        <x:v>0</x:v>
      </x:c>
      <x:c r="F9" s="24" t="n">
        <x:v>4599787.5</x:v>
      </x:c>
      <x:c r="G9" s="24" t="n">
        <x:v>17221181.25</x:v>
      </x:c>
      <x:c r="H9" s="24" t="n">
        <x:v>19664006.25</x:v>
      </x:c>
      <x:c r="I9" s="24" t="n">
        <x:v>22113656.25</x:v>
      </x:c>
      <x:c r="J9" s="24" t="n">
        <x:v>24583440</x:v>
      </x:c>
    </x:row>
    <x:row r="10">
      <x:c r="A10" t="str">
        <x:v>Senior interest</x:v>
      </x:c>
      <x:c r="B10" s="24" t="n">
        <x:v>16087500</x:v>
      </x:c>
      <x:c r="C10" s="24" t="n">
        <x:v>16087500</x:v>
      </x:c>
      <x:c r="D10" s="24" t="n">
        <x:v>15925000</x:v>
      </x:c>
      <x:c r="E10" s="24" t="n">
        <x:v>15762500</x:v>
      </x:c>
      <x:c r="F10" s="24" t="n">
        <x:v>13771875</x:v>
      </x:c>
      <x:c r="G10" s="24" t="n">
        <x:v>10879375</x:v>
      </x:c>
      <x:c r="H10" s="24" t="n">
        <x:v>8246875</x:v>
      </x:c>
      <x:c r="I10" s="24" t="n">
        <x:v>5581875</x:v>
      </x:c>
      <x:c r="J10" s="24" t="n">
        <x:v>2821000</x:v>
      </x:c>
    </x:row>
    <x:row r="11">
      <x:c r="A11" t="str">
        <x:v>Mezzanine interest</x:v>
      </x:c>
      <x:c r="B11" s="24" t="n">
        <x:v>17500000</x:v>
      </x:c>
      <x:c r="C11" s="24" t="n">
        <x:v>17500000</x:v>
      </x:c>
      <x:c r="D11" s="24" t="n">
        <x:v>17500000</x:v>
      </x:c>
      <x:c r="E11" s="24" t="n">
        <x:v>17500000</x:v>
      </x:c>
      <x:c r="F11" s="24" t="n">
        <x:v>17500000</x:v>
      </x:c>
      <x:c r="G11" s="24" t="n">
        <x:v>17500000</x:v>
      </x:c>
      <x:c r="H11" s="24" t="n">
        <x:v>17500000</x:v>
      </x:c>
      <x:c r="I11" s="24" t="n">
        <x:v>17500000</x:v>
      </x:c>
      <x:c r="J11" s="24" t="n">
        <x:v>17500000</x:v>
      </x:c>
    </x:row>
    <x:row r="12">
      <x:c r="A12" t="str">
        <x:v>Senior principal repayment</x:v>
      </x:c>
      <x:c r="B12" s="24" t="n">
        <x:v>3250000</x:v>
      </x:c>
      <x:c r="C12" s="24" t="n">
        <x:v>3250000</x:v>
      </x:c>
      <x:c r="D12" s="24" t="n">
        <x:v>3250000</x:v>
      </x:c>
      <x:c r="E12" s="24" t="n">
        <x:v>39812500</x:v>
      </x:c>
      <x:c r="F12" s="24" t="n">
        <x:v>57850000</x:v>
      </x:c>
      <x:c r="G12" s="24" t="n">
        <x:v>52650000</x:v>
      </x:c>
      <x:c r="H12" s="24" t="n">
        <x:v>53300000</x:v>
      </x:c>
      <x:c r="I12" s="24" t="n">
        <x:v>55217500</x:v>
      </x:c>
      <x:c r="J12" s="24" t="n">
        <x:v>56420000</x:v>
      </x:c>
    </x:row>
    <x:row r="13">
      <x:c r="A13" t="str">
        <x:v>Bank fees</x:v>
      </x:c>
      <x:c r="B13" s="24" t="n">
        <x:v>15000</x:v>
      </x:c>
      <x:c r="C13" s="24" t="n">
        <x:v>15000</x:v>
      </x:c>
      <x:c r="D13" s="24" t="n">
        <x:v>15000</x:v>
      </x:c>
      <x:c r="E13" s="24" t="n">
        <x:v>15000</x:v>
      </x:c>
      <x:c r="F13" s="24" t="n">
        <x:v>15000</x:v>
      </x:c>
      <x:c r="G13" s="24" t="n">
        <x:v>15000</x:v>
      </x:c>
      <x:c r="H13" s="24" t="n">
        <x:v>15000</x:v>
      </x:c>
      <x:c r="I13" s="24" t="n">
        <x:v>15000</x:v>
      </x:c>
      <x:c r="J13" s="24" t="n">
        <x:v>15000</x:v>
      </x:c>
    </x:row>
    <x:row r="14">
      <x:c r="A14" t="str">
        <x:v>Repayment reserve funding</x:v>
      </x:c>
      <x:c r="B14" s="24" t="n">
        <x:v>13888888.888888888</x:v>
      </x:c>
      <x:c r="C14" s="24" t="n">
        <x:v>13888888.888888888</x:v>
      </x:c>
      <x:c r="D14" s="24" t="n">
        <x:v>13888888.888888888</x:v>
      </x:c>
      <x:c r="E14" s="24" t="n">
        <x:v>13888888.888888888</x:v>
      </x:c>
      <x:c r="F14" s="24" t="n">
        <x:v>13888888.888888888</x:v>
      </x:c>
      <x:c r="G14" s="24" t="n">
        <x:v>13888888.888888888</x:v>
      </x:c>
      <x:c r="H14" s="24" t="n">
        <x:v>13888888.888888888</x:v>
      </x:c>
      <x:c r="I14" s="24" t="n">
        <x:v>13888888.888888888</x:v>
      </x:c>
      <x:c r="J14" s="24" t="n">
        <x:v>13888888.888888888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e25cd69ec8b341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2" hidden="0" customWidth="1"/>
  </x:cols>
  <x:sheetData>
    <x:row r="1" ht="28" customHeight="1">
      <x:c r="A1" s="5" t="str">
        <x:v>Capital Structure and Financing Inputs</x:v>
      </x:c>
    </x:row>
    <x:row r="3">
      <x:c r="A3" s="19" t="str">
        <x:v>Item</x:v>
      </x:c>
      <x:c r="B3" s="19" t="str">
        <x:v>Amount</x:v>
      </x:c>
      <x:c r="C3" s="19" t="str">
        <x:v>% of $500M need</x:v>
      </x:c>
      <x:c r="D3" s="19" t="str">
        <x:v>Cost / rate</x:v>
      </x:c>
      <x:c r="E3" s="19" t="str">
        <x:v>Repayment</x:v>
      </x:c>
      <x:c r="F3" s="19" t="str">
        <x:v>Notes</x:v>
      </x:c>
    </x:row>
    <x:row r="4">
      <x:c r="A4" t="str">
        <x:v>Capital needed</x:v>
      </x:c>
      <x:c r="B4" s="24" t="n">
        <x:v>500000000</x:v>
      </x:c>
      <x:c r="C4" s="26" t="n">
        <x:v>1</x:v>
      </x:c>
      <x:c r="D4" s="26" t="str"/>
      <x:c r="E4" t="str"/>
      <x:c r="F4" s="14" t="str">
        <x:v>Approximate project cost</x:v>
      </x:c>
    </x:row>
    <x:row r="5">
      <x:c r="A5" t="str">
        <x:v>Senior debt</x:v>
      </x:c>
      <x:c r="B5" s="24" t="n">
        <x:v>325000000</x:v>
      </x:c>
      <x:c r="C5" s="26" t="n">
        <x:v>0.65</x:v>
      </x:c>
      <x:c r="D5" s="26" t="n">
        <x:v>0.05</x:v>
      </x:c>
      <x:c r="E5" t="str">
        <x:v>Flexible principal schedule</x:v>
      </x:c>
      <x:c r="F5" s="14" t="str">
        <x:v>Bank consortium limit</x:v>
      </x:c>
    </x:row>
    <x:row r="6">
      <x:c r="A6" t="str">
        <x:v>Mezzanine capital</x:v>
      </x:c>
      <x:c r="B6" s="24" t="n">
        <x:v>125000000</x:v>
      </x:c>
      <x:c r="C6" s="26" t="n">
        <x:v>0.25</x:v>
      </x:c>
      <x:c r="D6" s="26" t="n">
        <x:v>0.14</x:v>
      </x:c>
      <x:c r="E6" t="str">
        <x:v>Bullet repayment in year 9</x:v>
      </x:c>
      <x:c r="F6" s="14" t="str">
        <x:v>Equity-capital character</x:v>
      </x:c>
    </x:row>
    <x:row r="7">
      <x:c r="A7" t="str">
        <x:v>Initial sponsor equity</x:v>
      </x:c>
      <x:c r="B7" s="24" t="n">
        <x:v>50000000</x:v>
      </x:c>
      <x:c r="C7" s="26" t="n">
        <x:v>0.1</x:v>
      </x:c>
      <x:c r="D7" s="26" t="str"/>
      <x:c r="E7" t="str">
        <x:v>At inception</x:v>
      </x:c>
      <x:c r="F7" s="14" t="str">
        <x:v>Initial sponsor contribution</x:v>
      </x:c>
    </x:row>
    <x:row r="8">
      <x:c r="A8" t="str">
        <x:v>Additional sponsor support</x:v>
      </x:c>
      <x:c r="B8" s="24" t="n">
        <x:v>72500000</x:v>
      </x:c>
      <x:c r="C8" s="26" t="n">
        <x:v>0.145</x:v>
      </x:c>
      <x:c r="D8" s="26" t="str"/>
      <x:c r="E8" t="str">
        <x:v>As needed</x:v>
      </x:c>
      <x:c r="F8" s="14" t="str">
        <x:v>Limited-recourse/call-liability support used in model</x:v>
      </x:c>
    </x:row>
    <x:row r="9">
      <x:c r="A9" t="str">
        <x:v>Cash reserve target</x:v>
      </x:c>
      <x:c r="B9" s="24" t="n">
        <x:v>50000000</x:v>
      </x:c>
      <x:c r="C9" s="26" t="n">
        <x:v>0.1</x:v>
      </x:c>
      <x:c r="D9" s="26" t="str"/>
      <x:c r="E9" t="str">
        <x:v>By year 3</x:v>
      </x:c>
      <x:c r="F9" s="14" t="str">
        <x:v>Reserve to support short-term obligations/covenants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e647ded128f444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5" t="str">
        <x:v>Base-Case Cash-Flow Waterfall</x:v>
      </x:c>
    </x:row>
    <x:row r="3">
      <x:c r="A3" s="19" t="str">
        <x:v>Line item</x:v>
      </x:c>
      <x:c r="B3" s="19" t="str">
        <x:v>Year 1</x:v>
      </x:c>
      <x:c r="C3" s="19" t="str">
        <x:v>Year 2</x:v>
      </x:c>
      <x:c r="D3" s="19" t="str">
        <x:v>Year 3</x:v>
      </x:c>
      <x:c r="E3" s="19" t="str">
        <x:v>Year 4</x:v>
      </x:c>
      <x:c r="F3" s="19" t="str">
        <x:v>Year 5</x:v>
      </x:c>
      <x:c r="G3" s="19" t="str">
        <x:v>Year 6</x:v>
      </x:c>
      <x:c r="H3" s="19" t="str">
        <x:v>Year 7</x:v>
      </x:c>
      <x:c r="I3" s="19" t="str">
        <x:v>Year 8</x:v>
      </x:c>
      <x:c r="J3" s="19" t="str">
        <x:v>Year 9</x:v>
      </x:c>
    </x:row>
    <x:row r="4">
      <x:c r="A4" t="str">
        <x:v>Revenue</x:v>
      </x:c>
      <x:c r="B4" s="24" t="n">
        <x:f>Inputs!B4*Inputs!B5</x:f>
        <x:v>0</x:v>
      </x:c>
      <x:c r="C4" s="24" t="n">
        <x:f>Inputs!C4*Inputs!C5</x:f>
        <x:v>105000000</x:v>
      </x:c>
      <x:c r="D4" s="24" t="n">
        <x:f>Inputs!D4*Inputs!D5</x:f>
        <x:v>180000000</x:v>
      </x:c>
      <x:c r="E4" s="24" t="n">
        <x:f>Inputs!E4*Inputs!E5</x:f>
        <x:v>180000000</x:v>
      </x:c>
      <x:c r="F4" s="24" t="n">
        <x:f>Inputs!F4*Inputs!F5</x:f>
        <x:v>180000000</x:v>
      </x:c>
      <x:c r="G4" s="24" t="n">
        <x:f>Inputs!G4*Inputs!G5</x:f>
        <x:v>180000000</x:v>
      </x:c>
      <x:c r="H4" s="24" t="n">
        <x:f>Inputs!H4*Inputs!H5</x:f>
        <x:v>180000000</x:v>
      </x:c>
      <x:c r="I4" s="24" t="n">
        <x:f>Inputs!I4*Inputs!I5</x:f>
        <x:v>180000000</x:v>
      </x:c>
      <x:c r="J4" s="24" t="n">
        <x:f>Inputs!J4*Inputs!J5</x:f>
        <x:v>180000000</x:v>
      </x:c>
    </x:row>
    <x:row r="5">
      <x:c r="A5" t="str">
        <x:v>Operating costs</x:v>
      </x:c>
      <x:c r="B5" s="24" t="n">
        <x:f>Inputs!B6</x:f>
        <x:v>23400000</x:v>
      </x:c>
      <x:c r="C5" s="24" t="n">
        <x:f>Inputs!C6</x:f>
        <x:v>32400000</x:v>
      </x:c>
      <x:c r="D5" s="24" t="n">
        <x:f>Inputs!D6</x:f>
        <x:v>32400000</x:v>
      </x:c>
      <x:c r="E5" s="24" t="n">
        <x:f>Inputs!E6</x:f>
        <x:v>32400000</x:v>
      </x:c>
      <x:c r="F5" s="24" t="n">
        <x:f>Inputs!F6</x:f>
        <x:v>32400000</x:v>
      </x:c>
      <x:c r="G5" s="24" t="n">
        <x:f>Inputs!G6</x:f>
        <x:v>32400000</x:v>
      </x:c>
      <x:c r="H5" s="24" t="n">
        <x:f>Inputs!H6</x:f>
        <x:v>32400000</x:v>
      </x:c>
      <x:c r="I5" s="24" t="n">
        <x:f>Inputs!I6</x:f>
        <x:v>32400000</x:v>
      </x:c>
      <x:c r="J5" s="24" t="n">
        <x:f>Inputs!J6</x:f>
        <x:v>32400000</x:v>
      </x:c>
    </x:row>
    <x:row r="6">
      <x:c r="A6" t="str">
        <x:v>EBITDA</x:v>
      </x:c>
      <x:c r="B6" s="24" t="n">
        <x:f>B4-B5</x:f>
        <x:v>-23400000</x:v>
      </x:c>
      <x:c r="C6" s="24" t="n">
        <x:f>C4-C5</x:f>
        <x:v>72600000</x:v>
      </x:c>
      <x:c r="D6" s="24" t="n">
        <x:f>D4-D5</x:f>
        <x:v>147600000</x:v>
      </x:c>
      <x:c r="E6" s="24" t="n">
        <x:f>E4-E5</x:f>
        <x:v>147600000</x:v>
      </x:c>
      <x:c r="F6" s="24" t="n">
        <x:f>F4-F5</x:f>
        <x:v>147600000</x:v>
      </x:c>
      <x:c r="G6" s="24" t="n">
        <x:f>G4-G5</x:f>
        <x:v>147600000</x:v>
      </x:c>
      <x:c r="H6" s="24" t="n">
        <x:f>H4-H5</x:f>
        <x:v>147600000</x:v>
      </x:c>
      <x:c r="I6" s="24" t="n">
        <x:f>I4-I5</x:f>
        <x:v>147600000</x:v>
      </x:c>
      <x:c r="J6" s="24" t="n">
        <x:f>J4-J5</x:f>
        <x:v>147600000</x:v>
      </x:c>
    </x:row>
    <x:row r="7">
      <x:c r="A7" t="str">
        <x:v>Depreciation</x:v>
      </x:c>
      <x:c r="B7" s="24" t="n">
        <x:f>Inputs!B7+Inputs!B8</x:f>
        <x:v>91200000</x:v>
      </x:c>
      <x:c r="C7" s="24" t="n">
        <x:f>Inputs!C7+Inputs!C8</x:f>
        <x:v>82200000</x:v>
      </x:c>
      <x:c r="D7" s="24" t="n">
        <x:f>Inputs!D7+Inputs!D8</x:f>
        <x:v>73200000</x:v>
      </x:c>
      <x:c r="E7" s="24" t="n">
        <x:f>Inputs!E7+Inputs!E8</x:f>
        <x:v>64200000</x:v>
      </x:c>
      <x:c r="F7" s="24" t="n">
        <x:f>Inputs!F7+Inputs!F8</x:f>
        <x:v>55200000</x:v>
      </x:c>
      <x:c r="G7" s="24" t="n">
        <x:f>Inputs!G7+Inputs!G8</x:f>
        <x:v>37200000</x:v>
      </x:c>
      <x:c r="H7" s="24" t="n">
        <x:f>Inputs!H7+Inputs!H8</x:f>
        <x:v>28200000</x:v>
      </x:c>
      <x:c r="I7" s="24" t="n">
        <x:f>Inputs!I7+Inputs!I8</x:f>
        <x:v>19200000</x:v>
      </x:c>
      <x:c r="J7" s="24" t="n">
        <x:f>Inputs!J7+Inputs!J8</x:f>
        <x:v>10200000</x:v>
      </x:c>
    </x:row>
    <x:row r="8">
      <x:c r="A8" t="str">
        <x:v>EBIT</x:v>
      </x:c>
      <x:c r="B8" s="24" t="n">
        <x:f>B6-B7</x:f>
        <x:v>-114600000</x:v>
      </x:c>
      <x:c r="C8" s="24" t="n">
        <x:f>C6-C7</x:f>
        <x:v>-9600000</x:v>
      </x:c>
      <x:c r="D8" s="24" t="n">
        <x:f>D6-D7</x:f>
        <x:v>74400000</x:v>
      </x:c>
      <x:c r="E8" s="24" t="n">
        <x:f>E6-E7</x:f>
        <x:v>83400000</x:v>
      </x:c>
      <x:c r="F8" s="24" t="n">
        <x:f>F6-F7</x:f>
        <x:v>92400000</x:v>
      </x:c>
      <x:c r="G8" s="24" t="n">
        <x:f>G6-G7</x:f>
        <x:v>110400000</x:v>
      </x:c>
      <x:c r="H8" s="24" t="n">
        <x:f>H6-H7</x:f>
        <x:v>119400000</x:v>
      </x:c>
      <x:c r="I8" s="24" t="n">
        <x:f>I6-I7</x:f>
        <x:v>128400000</x:v>
      </x:c>
      <x:c r="J8" s="24" t="n">
        <x:f>J6-J7</x:f>
        <x:v>137400000</x:v>
      </x:c>
    </x:row>
    <x:row r="9">
      <x:c r="A9" t="str">
        <x:v>Taxes</x:v>
      </x:c>
      <x:c r="B9" s="24" t="n">
        <x:f>Inputs!B9</x:f>
        <x:v>0</x:v>
      </x:c>
      <x:c r="C9" s="24" t="n">
        <x:f>Inputs!C9</x:f>
        <x:v>0</x:v>
      </x:c>
      <x:c r="D9" s="24" t="n">
        <x:f>Inputs!D9</x:f>
        <x:v>0</x:v>
      </x:c>
      <x:c r="E9" s="24" t="n">
        <x:f>Inputs!E9</x:f>
        <x:v>0</x:v>
      </x:c>
      <x:c r="F9" s="24" t="n">
        <x:f>Inputs!F9</x:f>
        <x:v>4599787.5</x:v>
      </x:c>
      <x:c r="G9" s="24" t="n">
        <x:f>Inputs!G9</x:f>
        <x:v>17221181.25</x:v>
      </x:c>
      <x:c r="H9" s="24" t="n">
        <x:f>Inputs!H9</x:f>
        <x:v>19664006.25</x:v>
      </x:c>
      <x:c r="I9" s="24" t="n">
        <x:f>Inputs!I9</x:f>
        <x:v>22113656.25</x:v>
      </x:c>
      <x:c r="J9" s="24" t="n">
        <x:f>Inputs!J9</x:f>
        <x:v>24583440</x:v>
      </x:c>
    </x:row>
    <x:row r="10">
      <x:c r="A10" t="str">
        <x:v>Cash flow before financials</x:v>
      </x:c>
      <x:c r="B10" s="24" t="n">
        <x:f>B6+B7-B9</x:f>
        <x:v>67800000</x:v>
      </x:c>
      <x:c r="C10" s="24" t="n">
        <x:f>C6+C7-C9</x:f>
        <x:v>154800000</x:v>
      </x:c>
      <x:c r="D10" s="24" t="n">
        <x:f>D6+D7-D9</x:f>
        <x:v>220800000</x:v>
      </x:c>
      <x:c r="E10" s="24" t="n">
        <x:f>E6+E7-E9</x:f>
        <x:v>211800000</x:v>
      </x:c>
      <x:c r="F10" s="24" t="n">
        <x:f>F6+F7-F9</x:f>
        <x:v>198200212.5</x:v>
      </x:c>
      <x:c r="G10" s="24" t="n">
        <x:f>G6+G7-G9</x:f>
        <x:v>167578818.75</x:v>
      </x:c>
      <x:c r="H10" s="24" t="n">
        <x:f>H6+H7-H9</x:f>
        <x:v>156135993.75</x:v>
      </x:c>
      <x:c r="I10" s="24" t="n">
        <x:f>I6+I7-I9</x:f>
        <x:v>144686343.75</x:v>
      </x:c>
      <x:c r="J10" s="24" t="n">
        <x:f>J6+J7-J9</x:f>
        <x:v>133216560</x:v>
      </x:c>
    </x:row>
    <x:row r="11">
      <x:c r="A11" t="str">
        <x:v>Senior interest</x:v>
      </x:c>
      <x:c r="B11" s="24" t="n">
        <x:f>Inputs!B10</x:f>
        <x:v>16087500</x:v>
      </x:c>
      <x:c r="C11" s="24" t="n">
        <x:f>Inputs!C10</x:f>
        <x:v>16087500</x:v>
      </x:c>
      <x:c r="D11" s="24" t="n">
        <x:f>Inputs!D10</x:f>
        <x:v>15925000</x:v>
      </x:c>
      <x:c r="E11" s="24" t="n">
        <x:f>Inputs!E10</x:f>
        <x:v>15762500</x:v>
      </x:c>
      <x:c r="F11" s="24" t="n">
        <x:f>Inputs!F10</x:f>
        <x:v>13771875</x:v>
      </x:c>
      <x:c r="G11" s="24" t="n">
        <x:f>Inputs!G10</x:f>
        <x:v>10879375</x:v>
      </x:c>
      <x:c r="H11" s="24" t="n">
        <x:f>Inputs!H10</x:f>
        <x:v>8246875</x:v>
      </x:c>
      <x:c r="I11" s="24" t="n">
        <x:f>Inputs!I10</x:f>
        <x:v>5581875</x:v>
      </x:c>
      <x:c r="J11" s="24" t="n">
        <x:f>Inputs!J10</x:f>
        <x:v>2821000</x:v>
      </x:c>
    </x:row>
    <x:row r="12">
      <x:c r="A12" t="str">
        <x:v>Mezzanine interest</x:v>
      </x:c>
      <x:c r="B12" s="24" t="n">
        <x:f>Inputs!B11</x:f>
        <x:v>17500000</x:v>
      </x:c>
      <x:c r="C12" s="24" t="n">
        <x:f>Inputs!C11</x:f>
        <x:v>17500000</x:v>
      </x:c>
      <x:c r="D12" s="24" t="n">
        <x:f>Inputs!D11</x:f>
        <x:v>17500000</x:v>
      </x:c>
      <x:c r="E12" s="24" t="n">
        <x:f>Inputs!E11</x:f>
        <x:v>17500000</x:v>
      </x:c>
      <x:c r="F12" s="24" t="n">
        <x:f>Inputs!F11</x:f>
        <x:v>17500000</x:v>
      </x:c>
      <x:c r="G12" s="24" t="n">
        <x:f>Inputs!G11</x:f>
        <x:v>17500000</x:v>
      </x:c>
      <x:c r="H12" s="24" t="n">
        <x:f>Inputs!H11</x:f>
        <x:v>17500000</x:v>
      </x:c>
      <x:c r="I12" s="24" t="n">
        <x:f>Inputs!I11</x:f>
        <x:v>17500000</x:v>
      </x:c>
      <x:c r="J12" s="24" t="n">
        <x:f>Inputs!J11</x:f>
        <x:v>17500000</x:v>
      </x:c>
    </x:row>
    <x:row r="13">
      <x:c r="A13" t="str">
        <x:v>Senior principal</x:v>
      </x:c>
      <x:c r="B13" s="24" t="n">
        <x:f>Inputs!B12</x:f>
        <x:v>3250000</x:v>
      </x:c>
      <x:c r="C13" s="24" t="n">
        <x:f>Inputs!C12</x:f>
        <x:v>3250000</x:v>
      </x:c>
      <x:c r="D13" s="24" t="n">
        <x:f>Inputs!D12</x:f>
        <x:v>3250000</x:v>
      </x:c>
      <x:c r="E13" s="24" t="n">
        <x:f>Inputs!E12</x:f>
        <x:v>39812500</x:v>
      </x:c>
      <x:c r="F13" s="24" t="n">
        <x:f>Inputs!F12</x:f>
        <x:v>57850000</x:v>
      </x:c>
      <x:c r="G13" s="24" t="n">
        <x:f>Inputs!G12</x:f>
        <x:v>52650000</x:v>
      </x:c>
      <x:c r="H13" s="24" t="n">
        <x:f>Inputs!H12</x:f>
        <x:v>53300000</x:v>
      </x:c>
      <x:c r="I13" s="24" t="n">
        <x:f>Inputs!I12</x:f>
        <x:v>55217500</x:v>
      </x:c>
      <x:c r="J13" s="24" t="n">
        <x:f>Inputs!J12</x:f>
        <x:v>56420000</x:v>
      </x:c>
    </x:row>
    <x:row r="14">
      <x:c r="A14" t="str">
        <x:v>Bank fees</x:v>
      </x:c>
      <x:c r="B14" s="24" t="n">
        <x:f>Inputs!B13</x:f>
        <x:v>15000</x:v>
      </x:c>
      <x:c r="C14" s="24" t="n">
        <x:f>Inputs!C13</x:f>
        <x:v>15000</x:v>
      </x:c>
      <x:c r="D14" s="24" t="n">
        <x:f>Inputs!D13</x:f>
        <x:v>15000</x:v>
      </x:c>
      <x:c r="E14" s="24" t="n">
        <x:f>Inputs!E13</x:f>
        <x:v>15000</x:v>
      </x:c>
      <x:c r="F14" s="24" t="n">
        <x:f>Inputs!F13</x:f>
        <x:v>15000</x:v>
      </x:c>
      <x:c r="G14" s="24" t="n">
        <x:f>Inputs!G13</x:f>
        <x:v>15000</x:v>
      </x:c>
      <x:c r="H14" s="24" t="n">
        <x:f>Inputs!H13</x:f>
        <x:v>15000</x:v>
      </x:c>
      <x:c r="I14" s="24" t="n">
        <x:f>Inputs!I13</x:f>
        <x:v>15000</x:v>
      </x:c>
      <x:c r="J14" s="24" t="n">
        <x:f>Inputs!J13</x:f>
        <x:v>15000</x:v>
      </x:c>
    </x:row>
    <x:row r="15">
      <x:c r="A15" t="str">
        <x:v>Debt service + fees</x:v>
      </x:c>
      <x:c r="B15" s="24" t="n">
        <x:f>SUM(B11:B14)</x:f>
        <x:v>36852500</x:v>
      </x:c>
      <x:c r="C15" s="24" t="n">
        <x:f>SUM(C11:C14)</x:f>
        <x:v>36852500</x:v>
      </x:c>
      <x:c r="D15" s="24" t="n">
        <x:f>SUM(D11:D14)</x:f>
        <x:v>36690000</x:v>
      </x:c>
      <x:c r="E15" s="24" t="n">
        <x:f>SUM(E11:E14)</x:f>
        <x:v>73090000</x:v>
      </x:c>
      <x:c r="F15" s="24" t="n">
        <x:f>SUM(F11:F14)</x:f>
        <x:v>89136875</x:v>
      </x:c>
      <x:c r="G15" s="24" t="n">
        <x:f>SUM(G11:G14)</x:f>
        <x:v>81044375</x:v>
      </x:c>
      <x:c r="H15" s="24" t="n">
        <x:f>SUM(H11:H14)</x:f>
        <x:v>79061875</x:v>
      </x:c>
      <x:c r="I15" s="24" t="n">
        <x:f>SUM(I11:I14)</x:f>
        <x:v>78314375</x:v>
      </x:c>
      <x:c r="J15" s="24" t="n">
        <x:f>SUM(J11:J14)</x:f>
        <x:v>76756000</x:v>
      </x:c>
    </x:row>
    <x:row r="16">
      <x:c r="A16" t="str">
        <x:v>Repayment reserve funding</x:v>
      </x:c>
      <x:c r="B16" s="24" t="n">
        <x:f>Inputs!B14</x:f>
        <x:v>13888888.888888888</x:v>
      </x:c>
      <x:c r="C16" s="24" t="n">
        <x:f>Inputs!C14</x:f>
        <x:v>13888888.888888888</x:v>
      </x:c>
      <x:c r="D16" s="24" t="n">
        <x:f>Inputs!D14</x:f>
        <x:v>13888888.888888888</x:v>
      </x:c>
      <x:c r="E16" s="24" t="n">
        <x:f>Inputs!E14</x:f>
        <x:v>13888888.888888888</x:v>
      </x:c>
      <x:c r="F16" s="24" t="n">
        <x:f>Inputs!F14</x:f>
        <x:v>13888888.888888888</x:v>
      </x:c>
      <x:c r="G16" s="24" t="n">
        <x:f>Inputs!G14</x:f>
        <x:v>13888888.888888888</x:v>
      </x:c>
      <x:c r="H16" s="24" t="n">
        <x:f>Inputs!H14</x:f>
        <x:v>13888888.888888888</x:v>
      </x:c>
      <x:c r="I16" s="24" t="n">
        <x:f>Inputs!I14</x:f>
        <x:v>13888888.888888888</x:v>
      </x:c>
      <x:c r="J16" s="24" t="n">
        <x:f>Inputs!J14</x:f>
        <x:v>13888888.888888888</x:v>
      </x:c>
    </x:row>
    <x:row r="17">
      <x:c r="A17" t="str">
        <x:v>Free cash flow after reserve</x:v>
      </x:c>
      <x:c r="B17" s="24" t="n">
        <x:f>B10-B15-B16</x:f>
        <x:v>17058611.111111112</x:v>
      </x:c>
      <x:c r="C17" s="24" t="n">
        <x:f>C10-C15-C16</x:f>
        <x:v>104058611.1111111</x:v>
      </x:c>
      <x:c r="D17" s="24" t="n">
        <x:f>D10-D15-D16</x:f>
        <x:v>170221111.1111111</x:v>
      </x:c>
      <x:c r="E17" s="24" t="n">
        <x:f>E10-E15-E16</x:f>
        <x:v>124821111.1111111</x:v>
      </x:c>
      <x:c r="F17" s="24" t="n">
        <x:f>F10-F15-F16</x:f>
        <x:v>95174448.6111111</x:v>
      </x:c>
      <x:c r="G17" s="24" t="n">
        <x:f>G10-G15-G16</x:f>
        <x:v>72645554.8611111</x:v>
      </x:c>
      <x:c r="H17" s="24" t="n">
        <x:f>H10-H15-H16</x:f>
        <x:v>63185229.86111111</x:v>
      </x:c>
      <x:c r="I17" s="24" t="n">
        <x:f>I10-I15-I16</x:f>
        <x:v>52483079.86111111</x:v>
      </x:c>
      <x:c r="J17" s="24" t="n">
        <x:f>J10-J15-J16</x:f>
        <x:v>42571671.11111111</x:v>
      </x:c>
    </x:row>
    <x:row r="18">
      <x:c r="A18" t="str">
        <x:v>Dividends</x:v>
      </x:c>
      <x:c r="B18" s="24" t="n">
        <x:v>0</x:v>
      </x:c>
      <x:c r="C18" s="24" t="n">
        <x:v>0</x:v>
      </x:c>
      <x:c r="D18" s="24" t="n">
        <x:v>77238333.33333333</x:v>
      </x:c>
      <x:c r="E18" s="24" t="n">
        <x:v>60621111.11111111</x:v>
      </x:c>
      <x:c r="F18" s="24" t="n">
        <x:v>39974448.61111111</x:v>
      </x:c>
      <x:c r="G18" s="24" t="n">
        <x:v>35445554.86111111</x:v>
      </x:c>
      <x:c r="H18" s="24" t="n">
        <x:v>34985229.86111111</x:v>
      </x:c>
      <x:c r="I18" s="24" t="n">
        <x:v>33283079.861111112</x:v>
      </x:c>
      <x:c r="J18" s="24" t="n">
        <x:v>32371671.111111112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80da67113fae40ef"/>
  <x:tableParts count="1">
    <x:tablePart xmlns:r="http://schemas.openxmlformats.org/officeDocument/2006/relationships" r:id="R837e3fcaf7704e3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5" t="str">
        <x:v>Scenario Summary and Covenant Review</x:v>
      </x:c>
    </x:row>
    <x:row r="3">
      <x:c r="A3" s="19" t="str">
        <x:v>Scenario</x:v>
      </x:c>
      <x:c r="B3" s="19" t="str">
        <x:v>Operating stress</x:v>
      </x:c>
      <x:c r="C3" s="19" t="str">
        <x:v>ROE</x:v>
      </x:c>
      <x:c r="D3" s="19" t="str">
        <x:v>Min ADSCR</x:v>
      </x:c>
      <x:c r="E3" s="19" t="str">
        <x:v>Min LLCR</x:v>
      </x:c>
      <x:c r="F3" s="19" t="str">
        <x:v>Min ICR</x:v>
      </x:c>
      <x:c r="G3" s="19" t="str">
        <x:v>Total dividends</x:v>
      </x:c>
      <x:c r="H3" s="19" t="str">
        <x:v>Covenants</x:v>
      </x:c>
    </x:row>
    <x:row r="4">
      <x:c r="A4" t="str">
        <x:v>Part A - base case</x:v>
      </x:c>
      <x:c r="B4" s="14" t="str">
        <x:v>Base generation and price</x:v>
      </x:c>
      <x:c r="C4" s="26" t="n">
        <x:v>0.291255999</x:v>
      </x:c>
      <x:c r="D4" s="28" t="n">
        <x:v>1.6023411251127269</x:v>
      </x:c>
      <x:c r="E4" s="28" t="n">
        <x:v>2.312947040473508</x:v>
      </x:c>
      <x:c r="F4" s="28" t="n">
        <x:v>1.7595831782657239</x:v>
      </x:c>
      <x:c r="G4" s="24" t="n">
        <x:v>363919428.75</x:v>
      </x:c>
      <x:c r="H4" t="str">
        <x:v>Met</x:v>
      </x:c>
    </x:row>
    <x:row r="5">
      <x:c r="A5" t="str">
        <x:v>Part B - volume stress</x:v>
      </x:c>
      <x:c r="B5" s="14" t="str">
        <x:v>3% decline in MWh sold</x:v>
      </x:c>
      <x:c r="C5" s="26" t="n">
        <x:v>0.251623714</x:v>
      </x:c>
      <x:c r="D5" s="28" t="n">
        <x:v>1.6021826951346454</x:v>
      </x:c>
      <x:c r="E5" s="28" t="n">
        <x:v>2.3040741903477273</x:v>
      </x:c>
      <x:c r="F5" s="28" t="n">
        <x:v>1.7595831782657239</x:v>
      </x:c>
      <x:c r="G5" s="24" t="n">
        <x:v>333756492.5</x:v>
      </x:c>
      <x:c r="H5" t="str">
        <x:v>Met</x:v>
      </x:c>
    </x:row>
    <x:row r="6">
      <x:c r="A6" t="str">
        <x:v>Part C - volume + price stress</x:v>
      </x:c>
      <x:c r="B6" s="14" t="str">
        <x:v>2% MWh decline; 3% price decline in years 6-9</x:v>
      </x:c>
      <x:c r="C6" s="26" t="n">
        <x:v>0.250358854</x:v>
      </x:c>
      <x:c r="D6" s="28" t="n">
        <x:v>1.6008479444974555</x:v>
      </x:c>
      <x:c r="E6" s="28" t="n">
        <x:v>2.2806641883445327</x:v>
      </x:c>
      <x:c r="F6" s="28" t="n">
        <x:v>1.7595831782657239</x:v>
      </x:c>
      <x:c r="G6" s="24" t="n">
        <x:v>328318105.125</x:v>
      </x:c>
      <x:c r="H6" t="str">
        <x:v>Met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5751ec30dde49e7"/>
  </x:tableParts>
</x:worksheet>
</file>