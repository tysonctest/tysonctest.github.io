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ff32200d1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1a1f75ee0cd40a8"/>
    <x:sheet xmlns:r="http://schemas.openxmlformats.org/officeDocument/2006/relationships" name="Source_Catalog" sheetId="2" r:id="Rcdd5872f2fbf491e"/>
    <x:sheet xmlns:r="http://schemas.openxmlformats.org/officeDocument/2006/relationships" name="API_Workflow" sheetId="3" r:id="R7a1fc4d777b249eb"/>
    <x:sheet xmlns:r="http://schemas.openxmlformats.org/officeDocument/2006/relationships" name="QCEW_Tourism_Sample" sheetId="4" r:id="R81b77ae1cc894187"/>
    <x:sheet xmlns:r="http://schemas.openxmlformats.org/officeDocument/2006/relationships" name="FRED_BEA_Sample" sheetId="5" r:id="R0970d8c5cc3e4e95"/>
    <x:sheet xmlns:r="http://schemas.openxmlformats.org/officeDocument/2006/relationships" name="Analysis_Summary" sheetId="6" r:id="R3284b7b667834d72"/>
    <x:sheet xmlns:r="http://schemas.openxmlformats.org/officeDocument/2006/relationships" name="Dashboard" sheetId="7" r:id="R77febb8ae8e3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"/>
    <x:numFmt numFmtId="202" formatCode="0.0%"/>
    <x:numFmt numFmtId="203" formatCode="#,##0.0"/>
    <x:numFmt numFmtId="204" formatCode="#,##0.000"/>
    <x:numFmt numFmtId="205" formatCode="$#,##0"/>
  </x:numFmts>
  <x:fonts count="7">
    <x:font>
      <x:sz val="11"/>
      <x:name val="Carlito"/>
    </x:font>
    <x:font>
      <x:b/>
      <x:sz val="18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0"/>
      <x:color rgb="1F1F1F"/>
      <x:name val="Carlito"/>
    </x:font>
    <x:font>
      <x:sz val="10"/>
      <x:color rgb="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3F7FA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205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205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5" fillId="3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4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34343ba9a46b8" /><Relationship Type="http://schemas.openxmlformats.org/officeDocument/2006/relationships/theme" Target="/xl/theme/theme1.xml" Id="R2d7053bba0964243" /><Relationship Type="http://schemas.openxmlformats.org/officeDocument/2006/relationships/sharedStrings" Target="/xl/sharedStrings.xml" Id="R56bda005bcf84ccc" /><Relationship Type="http://schemas.openxmlformats.org/officeDocument/2006/relationships/worksheet" Target="/xl/worksheets/sheet1.xml" Id="R51a1f75ee0cd40a8" /><Relationship Type="http://schemas.openxmlformats.org/officeDocument/2006/relationships/worksheet" Target="/xl/worksheets/sheet2.xml" Id="Rcdd5872f2fbf491e" /><Relationship Type="http://schemas.openxmlformats.org/officeDocument/2006/relationships/worksheet" Target="/xl/worksheets/sheet3.xml" Id="R7a1fc4d777b249eb" /><Relationship Type="http://schemas.openxmlformats.org/officeDocument/2006/relationships/worksheet" Target="/xl/worksheets/sheet4.xml" Id="R81b77ae1cc894187" /><Relationship Type="http://schemas.openxmlformats.org/officeDocument/2006/relationships/worksheet" Target="/xl/worksheets/sheet5.xml" Id="R0970d8c5cc3e4e95" /><Relationship Type="http://schemas.openxmlformats.org/officeDocument/2006/relationships/worksheet" Target="/xl/worksheets/sheet6.xml" Id="R3284b7b667834d72" /><Relationship Type="http://schemas.openxmlformats.org/officeDocument/2006/relationships/worksheet" Target="/xl/worksheets/sheet7.xml" Id="R77febb8ae8e343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5a17a1744e4af6" /><Relationship Type="http://schemas.openxmlformats.org/officeDocument/2006/relationships/chart" Target="/xl/drawings/charts/chart2.xml" Id="Raa3a32e19c9443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Tourism Employment and Wage Shares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Tourism Employment Share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Tourism Wage Share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'Dashboard'!$C$11:$C$15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Tourism Employment (Avg)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5a17a1744e4af6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3a32e19c9443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Catalog" displayName="SourceCatalog" ref="A1:E6" headerRowCount="1">
  <x:tableColumns count="5">
    <x:tableColumn id="1" name="Source"/>
    <x:tableColumn id="2" name="Use in workbook"/>
    <x:tableColumn id="3" name="Geography"/>
    <x:tableColumn id="4" name="Time period"/>
    <x:tableColumn id="5" name="URL"/>
  </x:tableColumns>
  <x:tableStyleInfo name="TableStyleMedium2" showRowStripes="1"/>
</x:table>
</file>

<file path=xl/tables/table2.xml><?xml version="1.0" encoding="utf-8"?>
<x:table xmlns:x="http://schemas.openxmlformats.org/spreadsheetml/2006/main" id="2" name="WorkflowSteps" displayName="WorkflowSteps" ref="A3:F8" headerRowCount="1">
  <x:tableColumns count="6">
    <x:tableColumn id="1" name="Step"/>
    <x:tableColumn id="2" name="Purpose"/>
    <x:tableColumn id="3" name="Inputs / Parameters"/>
    <x:tableColumn id="4" name="Transformation"/>
    <x:tableColumn id="5" name="Output Sheet"/>
    <x:tableColumn id="6" name="Quality Control"/>
  </x:tableColumns>
  <x:tableStyleInfo name="TableStyleMedium2" showRowStripes="1"/>
</x:table>
</file>

<file path=xl/tables/table3.xml><?xml version="1.0" encoding="utf-8"?>
<x:table xmlns:x="http://schemas.openxmlformats.org/spreadsheetml/2006/main" id="3" name="QCEWTourismSample" displayName="QCEWTourismSample" ref="A1:T55" headerRowCount="1">
  <x:tableColumns count="20">
    <x:tableColumn id="1" name="Year"/>
    <x:tableColumn id="2" name="Area Fips"/>
    <x:tableColumn id="3" name="Tourism Category"/>
    <x:tableColumn id="4" name="Tourism Establishments (Avg)"/>
    <x:tableColumn id="5" name="Tourism Employment (Avg)"/>
    <x:tableColumn id="6" name="Tourism Wages (Annual)"/>
    <x:tableColumn id="7" name="Total Establishments (Avg)"/>
    <x:tableColumn id="8" name="Total Employment"/>
    <x:tableColumn id="9" name="Total Wages (Annual)"/>
    <x:tableColumn id="10" name="Tourism Share of Employment"/>
    <x:tableColumn id="11" name="Tourism Share of Wages"/>
    <x:tableColumn id="12" name="Tourism Share of Establishments"/>
    <x:tableColumn id="13" name="Establishments per 1,000"/>
    <x:tableColumn id="14" name="Employment per 1,000"/>
    <x:tableColumn id="15" name="Wages per Capita"/>
    <x:tableColumn id="16" name="Avg Establishment Size (Employees per Establishment)"/>
    <x:tableColumn id="17" name="Avg Wages per Employee"/>
    <x:tableColumn id="18" name="Geography"/>
    <x:tableColumn id="19" name="Geo Level"/>
    <x:tableColumn id="20" name="Population (000s)"/>
  </x:tableColumns>
  <x:tableStyleInfo name="TableStyleMedium2" showRowStripes="1"/>
</x:table>
</file>

<file path=xl/tables/table4.xml><?xml version="1.0" encoding="utf-8"?>
<x:table xmlns:x="http://schemas.openxmlformats.org/spreadsheetml/2006/main" id="4" name="FREDBEASample" displayName="FREDBEASample" ref="A1:I21" headerRowCount="1">
  <x:tableColumns count="9">
    <x:tableColumn id="1" name="Year"/>
    <x:tableColumn id="2" name="GDP (All)"/>
    <x:tableColumn id="3" name="Real GDP (All)"/>
    <x:tableColumn id="4" name="Per Capita Personal Income"/>
    <x:tableColumn id="5" name="Real GDP (Goods)"/>
    <x:tableColumn id="6" name="Real GDP (Services)"/>
    <x:tableColumn id="7" name="Real GDP (Govt)"/>
    <x:tableColumn id="8" name="Personal Income"/>
    <x:tableColumn id="9" name="Popul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0755810d5a47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fdd6f0c29e4a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c60052fcda4a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2b852601464b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53421faa017e4c6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4" hidden="0" customWidth="1"/>
  </x:cols>
  <x:sheetData>
    <x:row r="1">
      <x:c r="A1" s="23" t="str">
        <x:v>Custer County Public Data Workflow Demo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4" t="str">
        <x:v>Purpose</x:v>
      </x:c>
      <x:c r="B3" s="55" t="str">
        <x:v>Portfolio-ready workbook demonstrating how public economic and labor-market data were organized for the Custer Area Economic Development Foundation project.</x:v>
      </x:c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4" t="str">
        <x:v>Project</x:v>
      </x:c>
      <x:c r="B4" s="55" t="str">
        <x:v>Tourism and Regional Economic Development in Custer County</x:v>
      </x:c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4" t="str">
        <x:v>Primary sources represented</x:v>
      </x:c>
      <x:c r="B5" s="55" t="str">
        <x:v>BLS/QCEW public labor-market data; FRED/BEA county GDP, personal income, and population series.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4" t="str">
        <x:v>What this demo includes</x:v>
      </x:c>
      <x:c r="B6" s="55" t="str">
        <x:v>A cleaned sample of the public-data workflow, source documentation, transformation notes, formulas, and dashboard outputs.</x:v>
      </x:c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4" t="str">
        <x:v>What this demo excludes</x:v>
      </x:c>
      <x:c r="B7" s="55" t="str">
        <x:v>Full raw downloads, private working files, scratch tabs, and any non-public client notes.</x:v>
      </x:c>
      <x:c r="C7" s="53"/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4" t="str">
        <x:v>Portfolio note</x:v>
      </x:c>
      <x:c r="B8" s="55" t="str">
        <x:v>This is a cleaned demonstration workbook, not the entire original project workbook. It is designed to show data workflow logic and analytical framing.</x:v>
      </x:c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6" t="str">
        <x:v>Workbook Contents</x:v>
      </x:c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7" t="str">
        <x:v>Source_Catalog</x:v>
      </x:c>
      <x:c r="B11" s="55" t="str">
        <x:v>Plain-text source list with URLs and use cases.</x:v>
      </x:c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7" t="str">
        <x:v>API_Workflow</x:v>
      </x:c>
      <x:c r="B12" s="55" t="str">
        <x:v>Simplified workflow notes for pulling and transforming public data.</x:v>
      </x:c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7" t="str">
        <x:v>QCEW_Tourism_Sample</x:v>
      </x:c>
      <x:c r="B13" s="55" t="str">
        <x:v>Clean sample of tourism-related BLS/QCEW labor-market data.</x:v>
      </x:c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7" t="str">
        <x:v>FRED_BEA_Sample</x:v>
      </x:c>
      <x:c r="B14" s="55" t="str">
        <x:v>Clean sample of FRED/BEA county economic series.</x:v>
      </x:c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7" t="str">
        <x:v>Analysis_Summary</x:v>
      </x:c>
      <x:c r="B15" s="55" t="str">
        <x:v>Formula-driven summary metrics used for interpretation.</x:v>
      </x:c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7" t="str">
        <x:v>Dashboard</x:v>
      </x:c>
      <x:c r="B16" s="55" t="str">
        <x:v>Client-facing visual summary of selected metrics.</x:v>
      </x:c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  <x:col min="3" max="3" width="37.41999816894531" hidden="0" customWidth="1"/>
    <x:col min="4" max="4" width="18.170000076293945" hidden="0" customWidth="1"/>
    <x:col min="5" max="5" width="62" hidden="0" customWidth="1"/>
  </x:cols>
  <x:sheetData>
    <x:row r="1">
      <x:c r="A1" s="52" t="str">
        <x:v>Source</x:v>
      </x:c>
      <x:c r="B1" s="52" t="str">
        <x:v>Use in workbook</x:v>
      </x:c>
      <x:c r="C1" s="52" t="str">
        <x:v>Geography</x:v>
      </x:c>
      <x:c r="D1" s="52" t="str">
        <x:v>Time period</x:v>
      </x:c>
      <x:c r="E1" s="52" t="str">
        <x:v>URL</x:v>
      </x:c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 t="str">
        <x:v>BLS Quarterly Census of Employment and Wages (QCEW)</x:v>
      </x:c>
      <x:c r="B2" s="55" t="str">
        <x:v>Employment, establishments, and annual wages by industry for tourism-related NAICS categories.</x:v>
      </x:c>
      <x:c r="C2" s="55" t="str">
        <x:v>Custer County, Lawrence County, South Dakota</x:v>
      </x:c>
      <x:c r="D2" s="55" t="str">
        <x:v>2019–2024 public slice</x:v>
      </x:c>
      <x:c r="E2" s="55" t="str">
        <x:v>https://www.bls.gov/cew/downloadable-data-files.htm</x:v>
      </x:c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BLS QCEW data concepts</x:v>
      </x:c>
      <x:c r="B3" s="55" t="str">
        <x:v>Documentation for interpreting ownership, industry, establishment, employment, wage, and geography fields.</x:v>
      </x:c>
      <x:c r="C3" s="55" t="str">
        <x:v>United States</x:v>
      </x:c>
      <x:c r="D3" s="55" t="str">
        <x:v>Ongoing</x:v>
      </x:c>
      <x:c r="E3" s="55" t="str">
        <x:v>https://www.bls.gov/cew/about-data.htm</x:v>
      </x:c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FRED / BEA county GDP series</x:v>
      </x:c>
      <x:c r="B4" s="55" t="str">
        <x:v>County GDP, real GDP, industry composition, and personal income measures.</x:v>
      </x:c>
      <x:c r="C4" s="55" t="str">
        <x:v>Custer County, South Dakota</x:v>
      </x:c>
      <x:c r="D4" s="55" t="str">
        <x:v>2005–2024 sample</x:v>
      </x:c>
      <x:c r="E4" s="55" t="str">
        <x:v>https://fred.stlouisfed.org/series/GDPALL46033</x:v>
      </x:c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str">
        <x:v>FRED population series</x:v>
      </x:c>
      <x:c r="B5" s="55" t="str">
        <x:v>County population denominator for per-capita and per-1,000 metrics.</x:v>
      </x:c>
      <x:c r="C5" s="55" t="str">
        <x:v>Custer County, South Dakota</x:v>
      </x:c>
      <x:c r="D5" s="55" t="str">
        <x:v>2005–2024 sample</x:v>
      </x:c>
      <x:c r="E5" s="55" t="str">
        <x:v>https://fred.stlouisfed.org/series/SDCUST3POP</x:v>
      </x:c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5" t="str">
        <x:v>Custer Area Economic Development Foundation project deliverables</x:v>
      </x:c>
      <x:c r="B6" s="55" t="str">
        <x:v>Client-facing interpretation, report tables, and presentation outputs.</x:v>
      </x:c>
      <x:c r="C6" s="55" t="str">
        <x:v>Custer County, South Dakota</x:v>
      </x:c>
      <x:c r="D6" s="55" t="str">
        <x:v>2025 project work</x:v>
      </x:c>
      <x:c r="E6" s="55" t="str">
        <x:v>Client-facing CBC deliverables; public-data-based portfolio summary</x:v>
      </x:c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3"/>
      <x:c r="B7" s="53"/>
      <x:c r="C7" s="53"/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3"/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</x:sheetData>
  <x:pageMargins left="0.7" right="0.7" top="0.75" bottom="0.75" header="0.3" footer="0.3"/>
  <x:tableParts count="1">
    <x:tablePart xmlns:r="http://schemas.openxmlformats.org/officeDocument/2006/relationships" r:id="R280755810d5a47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44" hidden="0" customWidth="1"/>
    <x:col min="4" max="4" width="44" hidden="0" customWidth="1"/>
    <x:col min="5" max="5" width="28" hidden="0" customWidth="1"/>
    <x:col min="6" max="6" width="42" hidden="0" customWidth="1"/>
  </x:cols>
  <x:sheetData>
    <x:row r="1">
      <x:c r="A1" s="23" t="str">
        <x:v>Public Data Workflow: BLS/QCEW + FRED/BEA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2" t="str">
        <x:v>Step</x:v>
      </x:c>
      <x:c r="B3" s="52" t="str">
        <x:v>Purpose</x:v>
      </x:c>
      <x:c r="C3" s="52" t="str">
        <x:v>Inputs / Parameters</x:v>
      </x:c>
      <x:c r="D3" s="52" t="str">
        <x:v>Transformation</x:v>
      </x:c>
      <x:c r="E3" s="52" t="str">
        <x:v>Output Sheet</x:v>
      </x:c>
      <x:c r="F3" s="52" t="str">
        <x:v>Quality Control</x:v>
      </x:c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1. Define geographies</x:v>
      </x:c>
      <x:c r="B4" s="55" t="str">
        <x:v>Limit analysis to client-relevant areas.</x:v>
      </x:c>
      <x:c r="C4" s="55" t="str">
        <x:v>Custer County FIPS 46033; Lawrence County FIPS 46081; South Dakota 46000.</x:v>
      </x:c>
      <x:c r="D4" s="55" t="str">
        <x:v>Standardize geography labels and levels.</x:v>
      </x:c>
      <x:c r="E4" s="55" t="str">
        <x:v>QCEW_Tourism_Sample</x:v>
      </x:c>
      <x:c r="F4" s="55" t="str">
        <x:v>Check that FIPS codes map to expected county/state names.</x:v>
      </x:c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str">
        <x:v>2. Pull public labor-market data</x:v>
      </x:c>
      <x:c r="B5" s="55" t="str">
        <x:v>Capture tourism-related employment, establishments, and wages.</x:v>
      </x:c>
      <x:c r="C5" s="55" t="str">
        <x:v>NAICS 71 and 72; private ownership; annual averages; 2019–2024 public slice.</x:v>
      </x:c>
      <x:c r="D5" s="55" t="str">
        <x:v>Combine 71+72 into broad tourism total; preserve component categories.</x:v>
      </x:c>
      <x:c r="E5" s="55" t="str">
        <x:v>QCEW_Tourism_Sample</x:v>
      </x:c>
      <x:c r="F5" s="55" t="str">
        <x:v>Flag suppressed or not-yet-released public values as blank rather than forcing zeros.</x:v>
      </x:c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5" t="str">
        <x:v>3. Pull public economic series</x:v>
      </x:c>
      <x:c r="B6" s="55" t="str">
        <x:v>Capture county economic context.</x:v>
      </x:c>
      <x:c r="C6" s="55" t="str">
        <x:v>FRED/BEA series for GDP, real GDP, income, and population.</x:v>
      </x:c>
      <x:c r="D6" s="55" t="str">
        <x:v>Convert source dates to year; organize wide series for trend analysis.</x:v>
      </x:c>
      <x:c r="E6" s="55" t="str">
        <x:v>FRED_BEA_Sample</x:v>
      </x:c>
      <x:c r="F6" s="55" t="str">
        <x:v>Check units: dollars, thousands of dollars, and population in thousands.</x:v>
      </x:c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5" t="str">
        <x:v>4. Calculate analytic metrics</x:v>
      </x:c>
      <x:c r="B7" s="55" t="str">
        <x:v>Translate raw public data into client-friendly indicators.</x:v>
      </x:c>
      <x:c r="C7" s="55" t="str">
        <x:v>Employment, wages, establishments, population denominators.</x:v>
      </x:c>
      <x:c r="D7" s="55" t="str">
        <x:v>Employment share, wage share, establishments per 1,000 residents, wages per capita, average wage per employee.</x:v>
      </x:c>
      <x:c r="E7" s="55" t="str">
        <x:v>Analysis_Summary</x:v>
      </x:c>
      <x:c r="F7" s="55" t="str">
        <x:v>Use formulas tied to the clean sample sheets.</x:v>
      </x:c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5" t="str">
        <x:v>5. Create client-facing summary</x:v>
      </x:c>
      <x:c r="B8" s="55" t="str">
        <x:v>Convert data workflow into usable planning evidence.</x:v>
      </x:c>
      <x:c r="C8" s="55" t="str">
        <x:v>Selected summary metrics and time trends.</x:v>
      </x:c>
      <x:c r="D8" s="55" t="str">
        <x:v>Charts and KPI cards for interpretation.</x:v>
      </x:c>
      <x:c r="E8" s="55" t="str">
        <x:v>Dashboard</x:v>
      </x:c>
      <x:c r="F8" s="55" t="str">
        <x:v>Use notes/disclosures where public data are incomplete or suppressed.</x:v>
      </x:c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ffdd6f0c29e4a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10.09000015258789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7.190000534057617" hidden="0" customWidth="1"/>
    <x:col min="11" max="11" width="22.209999084472656" hidden="0" customWidth="1"/>
    <x:col min="12" max="12" width="29.06999969482422" hidden="0" customWidth="1"/>
    <x:col min="13" max="13" width="23.149999618530273" hidden="0" customWidth="1"/>
    <x:col min="14" max="14" width="21.1299991607666" hidden="0" customWidth="1"/>
    <x:col min="15" max="15" width="16.81999969482422" hidden="0" customWidth="1"/>
    <x:col min="16" max="16" width="46.970001220703125" hidden="0" customWidth="1"/>
    <x:col min="17" max="17" width="23.149999618530273" hidden="0" customWidth="1"/>
    <x:col min="18" max="18" width="26" hidden="0" customWidth="1"/>
    <x:col min="19" max="19" width="10.630000114440918" hidden="0" customWidth="1"/>
    <x:col min="20" max="20" width="16.959999084472656" hidden="0" customWidth="1"/>
  </x:cols>
  <x:sheetData>
    <x:row r="1">
      <x:c r="A1" s="64" t="str">
        <x:v>Year</x:v>
      </x:c>
      <x:c r="B1" s="64" t="str">
        <x:v>Area Fips</x:v>
      </x:c>
      <x:c r="C1" s="64" t="str">
        <x:v>Tourism Category</x:v>
      </x:c>
      <x:c r="D1" s="64" t="str">
        <x:v>Tourism Establishments (Avg)</x:v>
      </x:c>
      <x:c r="E1" s="64" t="str">
        <x:v>Tourism Employment (Avg)</x:v>
      </x:c>
      <x:c r="F1" s="64" t="str">
        <x:v>Tourism Wages (Annual)</x:v>
      </x:c>
      <x:c r="G1" s="64" t="str">
        <x:v>Total Establishments (Avg)</x:v>
      </x:c>
      <x:c r="H1" s="64" t="str">
        <x:v>Total Employment</x:v>
      </x:c>
      <x:c r="I1" s="64" t="str">
        <x:v>Total Wages (Annual)</x:v>
      </x:c>
      <x:c r="J1" s="64" t="str">
        <x:v>Tourism Share of Employment</x:v>
      </x:c>
      <x:c r="K1" s="64" t="str">
        <x:v>Tourism Share of Wages</x:v>
      </x:c>
      <x:c r="L1" s="64" t="str">
        <x:v>Tourism Share of Establishments</x:v>
      </x:c>
      <x:c r="M1" s="64" t="str">
        <x:v>Establishments per 1,000</x:v>
      </x:c>
      <x:c r="N1" s="64" t="str">
        <x:v>Employment per 1,000</x:v>
      </x:c>
      <x:c r="O1" s="64" t="str">
        <x:v>Wages per Capita</x:v>
      </x:c>
      <x:c r="P1" s="64" t="str">
        <x:v>Avg Establishment Size (Employees per Establishment)</x:v>
      </x:c>
      <x:c r="Q1" s="64" t="str">
        <x:v>Avg Wages per Employee</x:v>
      </x:c>
      <x:c r="R1" s="64" t="str">
        <x:v>Geography</x:v>
      </x:c>
      <x:c r="S1" s="64" t="str">
        <x:v>Geo Level</x:v>
      </x:c>
      <x:c r="T1" s="64" t="str">
        <x:v>Population (000s)</x:v>
      </x:c>
      <x:c r="U1" s="53"/>
      <x:c r="V1" s="53"/>
      <x:c r="W1" s="53"/>
      <x:c r="X1" s="53"/>
      <x:c r="Y1" s="53"/>
      <x:c r="Z1" s="53"/>
    </x:row>
    <x:row r="2">
      <x:c r="A2" s="65" t="n">
        <x:v>2019</x:v>
      </x:c>
      <x:c r="B2" s="55" t="str">
        <x:v>46033</x:v>
      </x:c>
      <x:c r="C2" s="55" t="str">
        <x:v>Arts/Entertainment</x:v>
      </x:c>
      <x:c r="D2" s="66" t="n">
        <x:v>10</x:v>
      </x:c>
      <x:c r="E2" s="66" t="n">
        <x:v>124</x:v>
      </x:c>
      <x:c r="F2" s="66" t="n">
        <x:v>4781149</x:v>
      </x:c>
      <x:c r="G2" s="66" t="n">
        <x:v>314</x:v>
      </x:c>
      <x:c r="H2" s="66" t="n">
        <x:v>1882</x:v>
      </x:c>
      <x:c r="I2" s="66" t="n">
        <x:v>62532888</x:v>
      </x:c>
      <x:c r="J2" s="67" t="n">
        <x:v>0.06588735387885228</x:v>
      </x:c>
      <x:c r="K2" s="67" t="n">
        <x:v>0.07645815110922112</x:v>
      </x:c>
      <x:c r="L2" s="67" t="n">
        <x:v>0.03184713375796178</x:v>
      </x:c>
      <x:c r="M2" s="68" t="n">
        <x:v>1.1199462425803561</x:v>
      </x:c>
      <x:c r="N2" s="68" t="n">
        <x:v>13.887333407996415</x:v>
      </x:c>
      <x:c r="O2" s="68" t="n">
        <x:v>535.4629857766827</x:v>
      </x:c>
      <x:c r="P2" s="68" t="n">
        <x:v>12.4</x:v>
      </x:c>
      <x:c r="Q2" s="68" t="n">
        <x:v>38557.653225806454</x:v>
      </x:c>
      <x:c r="R2" s="55" t="str">
        <x:v>Custer County, SD</x:v>
      </x:c>
      <x:c r="S2" s="55" t="str">
        <x:v>County</x:v>
      </x:c>
      <x:c r="T2" s="69" t="n">
        <x:v>8.929</x:v>
      </x:c>
      <x:c r="U2" s="53"/>
      <x:c r="V2" s="53"/>
      <x:c r="W2" s="53"/>
      <x:c r="X2" s="53"/>
      <x:c r="Y2" s="53"/>
      <x:c r="Z2" s="53"/>
    </x:row>
    <x:row r="3">
      <x:c r="A3" s="65" t="n">
        <x:v>2019</x:v>
      </x:c>
      <x:c r="B3" s="55" t="str">
        <x:v>46033</x:v>
      </x:c>
      <x:c r="C3" s="55" t="str">
        <x:v>Accommodation/Food</x:v>
      </x:c>
      <x:c r="D3" s="66" t="n">
        <x:v>55</x:v>
      </x:c>
      <x:c r="E3" s="66" t="n">
        <x:v>559</x:v>
      </x:c>
      <x:c r="F3" s="66" t="n">
        <x:v>11423569</x:v>
      </x:c>
      <x:c r="G3" s="66" t="n">
        <x:v>314</x:v>
      </x:c>
      <x:c r="H3" s="66" t="n">
        <x:v>1882</x:v>
      </x:c>
      <x:c r="I3" s="66" t="n">
        <x:v>62532888</x:v>
      </x:c>
      <x:c r="J3" s="67" t="n">
        <x:v>0.2970244420828905</x:v>
      </x:c>
      <x:c r="K3" s="67" t="n">
        <x:v>0.18268097580908146</x:v>
      </x:c>
      <x:c r="L3" s="67" t="n">
        <x:v>0.1751592356687898</x:v>
      </x:c>
      <x:c r="M3" s="68" t="n">
        <x:v>6.159704334191958</x:v>
      </x:c>
      <x:c r="N3" s="68" t="n">
        <x:v>62.6049949602419</x:v>
      </x:c>
      <x:c r="O3" s="68" t="n">
        <x:v>1279.3783178407436</x:v>
      </x:c>
      <x:c r="P3" s="68" t="n">
        <x:v>10.163636363636364</x:v>
      </x:c>
      <x:c r="Q3" s="68" t="n">
        <x:v>20435.722719141322</x:v>
      </x:c>
      <x:c r="R3" s="55" t="str">
        <x:v>Custer County, SD</x:v>
      </x:c>
      <x:c r="S3" s="55" t="str">
        <x:v>County</x:v>
      </x:c>
      <x:c r="T3" s="69" t="n">
        <x:v>8.929</x:v>
      </x:c>
      <x:c r="U3" s="53"/>
      <x:c r="V3" s="53"/>
      <x:c r="W3" s="53"/>
      <x:c r="X3" s="53"/>
      <x:c r="Y3" s="53"/>
      <x:c r="Z3" s="53"/>
    </x:row>
    <x:row r="4">
      <x:c r="A4" s="65" t="n">
        <x:v>2019</x:v>
      </x:c>
      <x:c r="B4" s="55" t="str">
        <x:v>46033</x:v>
      </x:c>
      <x:c r="C4" s="55" t="str">
        <x:v>Tourism Total (71+72)</x:v>
      </x:c>
      <x:c r="D4" s="66" t="n">
        <x:v>65</x:v>
      </x:c>
      <x:c r="E4" s="66" t="n">
        <x:v>683</x:v>
      </x:c>
      <x:c r="F4" s="66" t="n">
        <x:v>16204718</x:v>
      </x:c>
      <x:c r="G4" s="66" t="n">
        <x:v>314</x:v>
      </x:c>
      <x:c r="H4" s="66" t="n">
        <x:v>1882</x:v>
      </x:c>
      <x:c r="I4" s="66" t="n">
        <x:v>62532888</x:v>
      </x:c>
      <x:c r="J4" s="67" t="n">
        <x:v>0.36291179596174283</x:v>
      </x:c>
      <x:c r="K4" s="67" t="n">
        <x:v>0.2591391269183026</x:v>
      </x:c>
      <x:c r="L4" s="67" t="n">
        <x:v>0.2070063694267516</x:v>
      </x:c>
      <x:c r="M4" s="68" t="n">
        <x:v>7.2796505767723145</x:v>
      </x:c>
      <x:c r="N4" s="68" t="n">
        <x:v>76.49232836823832</x:v>
      </x:c>
      <x:c r="O4" s="68" t="n">
        <x:v>1814.8413036174263</x:v>
      </x:c>
      <x:c r="P4" s="68" t="n">
        <x:v>10.507692307692308</x:v>
      </x:c>
      <x:c r="Q4" s="68" t="n">
        <x:v>23725.795021961934</x:v>
      </x:c>
      <x:c r="R4" s="55" t="str">
        <x:v>Custer County, SD</x:v>
      </x:c>
      <x:c r="S4" s="55" t="str">
        <x:v>County</x:v>
      </x:c>
      <x:c r="T4" s="69" t="n">
        <x:v>8.929</x:v>
      </x:c>
      <x:c r="U4" s="53"/>
      <x:c r="V4" s="53"/>
      <x:c r="W4" s="53"/>
      <x:c r="X4" s="53"/>
      <x:c r="Y4" s="53"/>
      <x:c r="Z4" s="53"/>
    </x:row>
    <x:row r="5">
      <x:c r="A5" s="65" t="n">
        <x:v>2019</x:v>
      </x:c>
      <x:c r="B5" s="55" t="str">
        <x:v>46000</x:v>
      </x:c>
      <x:c r="C5" s="55" t="str">
        <x:v>Arts/Entertainment</x:v>
      </x:c>
      <x:c r="D5" s="66" t="n">
        <x:v>698</x:v>
      </x:c>
      <x:c r="E5" s="66" t="n">
        <x:v>6919</x:v>
      </x:c>
      <x:c r="F5" s="66" t="n">
        <x:v>129030364</x:v>
      </x:c>
      <x:c r="G5" s="66" t="n">
        <x:v>31774</x:v>
      </x:c>
      <x:c r="H5" s="66" t="n">
        <x:v>355442</x:v>
      </x:c>
      <x:c r="I5" s="66" t="n">
        <x:v>16119231339</x:v>
      </x:c>
      <x:c r="J5" s="67" t="n">
        <x:v>0.019465904423225166</x:v>
      </x:c>
      <x:c r="K5" s="67" t="n">
        <x:v>0.008004746708226396</x:v>
      </x:c>
      <x:c r="L5" s="67" t="n">
        <x:v>0.021967646503430478</x:v>
      </x:c>
      <x:c r="M5" s="68" t="n">
        <x:v>0.7868095548889844</x:v>
      </x:c>
      <x:c r="N5" s="68" t="n">
        <x:v>7.799334255411007</x:v>
      </x:c>
      <x:c r="O5" s="68" t="n">
        <x:v>145.4474545358218</x:v>
      </x:c>
      <x:c r="P5" s="68" t="n">
        <x:v>9.912607449856733</x:v>
      </x:c>
      <x:c r="Q5" s="68" t="n">
        <x:v>18648.70125740714</x:v>
      </x:c>
      <x:c r="R5" s="55" t="str">
        <x:v>South Dakota</x:v>
      </x:c>
      <x:c r="S5" s="55" t="str">
        <x:v>State</x:v>
      </x:c>
      <x:c r="T5" s="69" t="n">
        <x:v>887.127</x:v>
      </x:c>
      <x:c r="U5" s="53"/>
      <x:c r="V5" s="53"/>
      <x:c r="W5" s="53"/>
      <x:c r="X5" s="53"/>
      <x:c r="Y5" s="53"/>
      <x:c r="Z5" s="53"/>
    </x:row>
    <x:row r="6">
      <x:c r="A6" s="65" t="n">
        <x:v>2019</x:v>
      </x:c>
      <x:c r="B6" s="55" t="str">
        <x:v>46081</x:v>
      </x:c>
      <x:c r="C6" s="55" t="str">
        <x:v>Arts/Entertainment</x:v>
      </x:c>
      <x:c r="D6" s="66" t="n">
        <x:v>37</x:v>
      </x:c>
      <x:c r="E6" s="66" t="n">
        <x:v>483</x:v>
      </x:c>
      <x:c r="F6" s="66" t="n">
        <x:v>11185604</x:v>
      </x:c>
      <x:c r="G6" s="66" t="n">
        <x:v>1211</x:v>
      </x:c>
      <x:c r="H6" s="66" t="n">
        <x:v>10289</x:v>
      </x:c>
      <x:c r="I6" s="66" t="n">
        <x:v>385741994</x:v>
      </x:c>
      <x:c r="J6" s="67" t="n">
        <x:v>0.04694333754495092</x:v>
      </x:c>
      <x:c r="K6" s="67" t="n">
        <x:v>0.028997630991662266</x:v>
      </x:c>
      <x:c r="L6" s="67" t="n">
        <x:v>0.0305532617671346</x:v>
      </x:c>
      <x:c r="M6" s="68"/>
      <x:c r="N6" s="68"/>
      <x:c r="O6" s="68"/>
      <x:c r="P6" s="68" t="n">
        <x:v>13.054054054054054</x:v>
      </x:c>
      <x:c r="Q6" s="68" t="n">
        <x:v>23158.600414078675</x:v>
      </x:c>
      <x:c r="R6" s="55" t="str">
        <x:v>Lawrence County, SD</x:v>
      </x:c>
      <x:c r="S6" s="55" t="str">
        <x:v>County</x:v>
      </x:c>
      <x:c r="T6" s="69"/>
      <x:c r="U6" s="53"/>
      <x:c r="V6" s="53"/>
      <x:c r="W6" s="53"/>
      <x:c r="X6" s="53"/>
      <x:c r="Y6" s="53"/>
      <x:c r="Z6" s="53"/>
    </x:row>
    <x:row r="7">
      <x:c r="A7" s="65" t="n">
        <x:v>2019</x:v>
      </x:c>
      <x:c r="B7" s="55" t="str">
        <x:v>46000</x:v>
      </x:c>
      <x:c r="C7" s="55" t="str">
        <x:v>Accommodation/Food</x:v>
      </x:c>
      <x:c r="D7" s="66" t="n">
        <x:v>2493</x:v>
      </x:c>
      <x:c r="E7" s="66" t="n">
        <x:v>40494</x:v>
      </x:c>
      <x:c r="F7" s="66" t="n">
        <x:v>701600855</x:v>
      </x:c>
      <x:c r="G7" s="66" t="n">
        <x:v>31774</x:v>
      </x:c>
      <x:c r="H7" s="66" t="n">
        <x:v>355442</x:v>
      </x:c>
      <x:c r="I7" s="66" t="n">
        <x:v>16119231339</x:v>
      </x:c>
      <x:c r="J7" s="67" t="n">
        <x:v>0.11392576003961265</x:v>
      </x:c>
      <x:c r="K7" s="67" t="n">
        <x:v>0.043525701706538425</x:v>
      </x:c>
      <x:c r="L7" s="67" t="n">
        <x:v>0.07846037640838421</x:v>
      </x:c>
      <x:c r="M7" s="68" t="n">
        <x:v>2.810195158077705</x:v>
      </x:c>
      <x:c r="N7" s="68" t="n">
        <x:v>45.64622652675435</x:v>
      </x:c>
      <x:c r="O7" s="68" t="n">
        <x:v>790.868562223898</x:v>
      </x:c>
      <x:c r="P7" s="68" t="n">
        <x:v>16.243080625752107</x:v>
      </x:c>
      <x:c r="Q7" s="68" t="n">
        <x:v>17326.044722674964</x:v>
      </x:c>
      <x:c r="R7" s="55" t="str">
        <x:v>South Dakota</x:v>
      </x:c>
      <x:c r="S7" s="55" t="str">
        <x:v>State</x:v>
      </x:c>
      <x:c r="T7" s="69" t="n">
        <x:v>887.127</x:v>
      </x:c>
      <x:c r="U7" s="53"/>
      <x:c r="V7" s="53"/>
      <x:c r="W7" s="53"/>
      <x:c r="X7" s="53"/>
      <x:c r="Y7" s="53"/>
      <x:c r="Z7" s="53"/>
    </x:row>
    <x:row r="8">
      <x:c r="A8" s="65" t="n">
        <x:v>2019</x:v>
      </x:c>
      <x:c r="B8" s="55" t="str">
        <x:v>46081</x:v>
      </x:c>
      <x:c r="C8" s="55" t="str">
        <x:v>Accommodation/Food</x:v>
      </x:c>
      <x:c r="D8" s="66" t="n">
        <x:v>144</x:v>
      </x:c>
      <x:c r="E8" s="66" t="n">
        <x:v>3032</x:v>
      </x:c>
      <x:c r="F8" s="66" t="n">
        <x:v>67390874</x:v>
      </x:c>
      <x:c r="G8" s="66" t="n">
        <x:v>1211</x:v>
      </x:c>
      <x:c r="H8" s="66" t="n">
        <x:v>10289</x:v>
      </x:c>
      <x:c r="I8" s="66" t="n">
        <x:v>385741994</x:v>
      </x:c>
      <x:c r="J8" s="67" t="n">
        <x:v>0.29468364272524056</x:v>
      </x:c>
      <x:c r="K8" s="67" t="n">
        <x:v>0.17470453061431523</x:v>
      </x:c>
      <x:c r="L8" s="67" t="n">
        <x:v>0.11890999174236168</x:v>
      </x:c>
      <x:c r="M8" s="68"/>
      <x:c r="N8" s="68"/>
      <x:c r="O8" s="68"/>
      <x:c r="P8" s="68" t="n">
        <x:v>21.055555555555557</x:v>
      </x:c>
      <x:c r="Q8" s="68" t="n">
        <x:v>22226.541556728233</x:v>
      </x:c>
      <x:c r="R8" s="55" t="str">
        <x:v>Lawrence County, SD</x:v>
      </x:c>
      <x:c r="S8" s="55" t="str">
        <x:v>County</x:v>
      </x:c>
      <x:c r="T8" s="69"/>
      <x:c r="U8" s="53"/>
      <x:c r="V8" s="53"/>
      <x:c r="W8" s="53"/>
      <x:c r="X8" s="53"/>
      <x:c r="Y8" s="53"/>
      <x:c r="Z8" s="53"/>
    </x:row>
    <x:row r="9">
      <x:c r="A9" s="65" t="n">
        <x:v>2019</x:v>
      </x:c>
      <x:c r="B9" s="55" t="str">
        <x:v>46000</x:v>
      </x:c>
      <x:c r="C9" s="55" t="str">
        <x:v>Tourism Total (71+72)</x:v>
      </x:c>
      <x:c r="D9" s="66" t="n">
        <x:v>3191</x:v>
      </x:c>
      <x:c r="E9" s="66" t="n">
        <x:v>47413</x:v>
      </x:c>
      <x:c r="F9" s="66" t="n">
        <x:v>830631219</x:v>
      </x:c>
      <x:c r="G9" s="66" t="n">
        <x:v>31774</x:v>
      </x:c>
      <x:c r="H9" s="66" t="n">
        <x:v>355442</x:v>
      </x:c>
      <x:c r="I9" s="66" t="n">
        <x:v>16119231339</x:v>
      </x:c>
      <x:c r="J9" s="67" t="n">
        <x:v>0.13339166446283782</x:v>
      </x:c>
      <x:c r="K9" s="67" t="n">
        <x:v>0.05153044841476482</x:v>
      </x:c>
      <x:c r="L9" s="67" t="n">
        <x:v>0.10042802291181468</x:v>
      </x:c>
      <x:c r="M9" s="68" t="n">
        <x:v>3.5970047129666893</x:v>
      </x:c>
      <x:c r="N9" s="68" t="n">
        <x:v>53.44556078216535</x:v>
      </x:c>
      <x:c r="O9" s="68" t="n">
        <x:v>936.3160167597199</x:v>
      </x:c>
      <x:c r="P9" s="68" t="n">
        <x:v>14.858351613914133</x:v>
      </x:c>
      <x:c r="Q9" s="68" t="n">
        <x:v>17519.060574104147</x:v>
      </x:c>
      <x:c r="R9" s="55" t="str">
        <x:v>South Dakota</x:v>
      </x:c>
      <x:c r="S9" s="55" t="str">
        <x:v>State</x:v>
      </x:c>
      <x:c r="T9" s="69" t="n">
        <x:v>887.127</x:v>
      </x:c>
      <x:c r="U9" s="53"/>
      <x:c r="V9" s="53"/>
      <x:c r="W9" s="53"/>
      <x:c r="X9" s="53"/>
      <x:c r="Y9" s="53"/>
      <x:c r="Z9" s="53"/>
    </x:row>
    <x:row r="10">
      <x:c r="A10" s="65" t="n">
        <x:v>2019</x:v>
      </x:c>
      <x:c r="B10" s="55" t="str">
        <x:v>46081</x:v>
      </x:c>
      <x:c r="C10" s="55" t="str">
        <x:v>Tourism Total (71+72)</x:v>
      </x:c>
      <x:c r="D10" s="66" t="n">
        <x:v>181</x:v>
      </x:c>
      <x:c r="E10" s="66" t="n">
        <x:v>3515</x:v>
      </x:c>
      <x:c r="F10" s="66" t="n">
        <x:v>78576478</x:v>
      </x:c>
      <x:c r="G10" s="66" t="n">
        <x:v>1211</x:v>
      </x:c>
      <x:c r="H10" s="66" t="n">
        <x:v>10289</x:v>
      </x:c>
      <x:c r="I10" s="66" t="n">
        <x:v>385741994</x:v>
      </x:c>
      <x:c r="J10" s="67" t="n">
        <x:v>0.34162698027019145</x:v>
      </x:c>
      <x:c r="K10" s="67" t="n">
        <x:v>0.20370216160597748</x:v>
      </x:c>
      <x:c r="L10" s="67" t="n">
        <x:v>0.1494632535094963</x:v>
      </x:c>
      <x:c r="M10" s="68"/>
      <x:c r="N10" s="68"/>
      <x:c r="O10" s="68"/>
      <x:c r="P10" s="68" t="n">
        <x:v>19.41988950276243</x:v>
      </x:c>
      <x:c r="Q10" s="68" t="n">
        <x:v>22354.616785206257</x:v>
      </x:c>
      <x:c r="R10" s="55" t="str">
        <x:v>Lawrence County, SD</x:v>
      </x:c>
      <x:c r="S10" s="55" t="str">
        <x:v>County</x:v>
      </x:c>
      <x:c r="T10" s="69"/>
      <x:c r="U10" s="53"/>
      <x:c r="V10" s="53"/>
      <x:c r="W10" s="53"/>
      <x:c r="X10" s="53"/>
      <x:c r="Y10" s="53"/>
      <x:c r="Z10" s="53"/>
    </x:row>
    <x:row r="11">
      <x:c r="A11" s="65" t="n">
        <x:v>2020</x:v>
      </x:c>
      <x:c r="B11" s="55" t="str">
        <x:v>46033</x:v>
      </x:c>
      <x:c r="C11" s="55" t="str">
        <x:v>Arts/Entertainment</x:v>
      </x:c>
      <x:c r="D11" s="66" t="n">
        <x:v>10</x:v>
      </x:c>
      <x:c r="E11" s="66" t="n">
        <x:v>99</x:v>
      </x:c>
      <x:c r="F11" s="66" t="n">
        <x:v>4384005</x:v>
      </x:c>
      <x:c r="G11" s="66" t="n">
        <x:v>330</x:v>
      </x:c>
      <x:c r="H11" s="66" t="n">
        <x:v>1695</x:v>
      </x:c>
      <x:c r="I11" s="66" t="n">
        <x:v>62073304</x:v>
      </x:c>
      <x:c r="J11" s="67" t="n">
        <x:v>0.0584070796460177</x:v>
      </x:c>
      <x:c r="K11" s="67" t="n">
        <x:v>0.07062625504838602</x:v>
      </x:c>
      <x:c r="L11" s="67" t="n">
        <x:v>0.030303030303030304</x:v>
      </x:c>
      <x:c r="M11" s="68" t="n">
        <x:v>1.1987532965715655</x:v>
      </x:c>
      <x:c r="N11" s="68" t="n">
        <x:v>11.867657636058498</x:v>
      </x:c>
      <x:c r="O11" s="68" t="n">
        <x:v>525.5340445936226</x:v>
      </x:c>
      <x:c r="P11" s="68" t="n">
        <x:v>9.9</x:v>
      </x:c>
      <x:c r="Q11" s="68" t="n">
        <x:v>44282.878787878784</x:v>
      </x:c>
      <x:c r="R11" s="55" t="str">
        <x:v>Custer County, SD</x:v>
      </x:c>
      <x:c r="S11" s="55" t="str">
        <x:v>County</x:v>
      </x:c>
      <x:c r="T11" s="69" t="n">
        <x:v>8.342</x:v>
      </x:c>
      <x:c r="U11" s="53"/>
      <x:c r="V11" s="53"/>
      <x:c r="W11" s="53"/>
      <x:c r="X11" s="53"/>
      <x:c r="Y11" s="53"/>
      <x:c r="Z11" s="53"/>
    </x:row>
    <x:row r="12">
      <x:c r="A12" s="65" t="n">
        <x:v>2020</x:v>
      </x:c>
      <x:c r="B12" s="55" t="str">
        <x:v>46033</x:v>
      </x:c>
      <x:c r="C12" s="55" t="str">
        <x:v>Accommodation/Food</x:v>
      </x:c>
      <x:c r="D12" s="66" t="n">
        <x:v>54</x:v>
      </x:c>
      <x:c r="E12" s="66" t="n">
        <x:v>430</x:v>
      </x:c>
      <x:c r="F12" s="66" t="n">
        <x:v>9559856</x:v>
      </x:c>
      <x:c r="G12" s="66" t="n">
        <x:v>330</x:v>
      </x:c>
      <x:c r="H12" s="66" t="n">
        <x:v>1695</x:v>
      </x:c>
      <x:c r="I12" s="66" t="n">
        <x:v>62073304</x:v>
      </x:c>
      <x:c r="J12" s="67" t="n">
        <x:v>0.2536873156342183</x:v>
      </x:c>
      <x:c r="K12" s="67" t="n">
        <x:v>0.15400913732576568</x:v>
      </x:c>
      <x:c r="L12" s="67" t="n">
        <x:v>0.16363636363636364</x:v>
      </x:c>
      <x:c r="M12" s="68" t="n">
        <x:v>6.473267801486454</x:v>
      </x:c>
      <x:c r="N12" s="68" t="n">
        <x:v>51.546391752577314</x:v>
      </x:c>
      <x:c r="O12" s="68" t="n">
        <x:v>1145.990889474946</x:v>
      </x:c>
      <x:c r="P12" s="68" t="n">
        <x:v>7.962962962962963</x:v>
      </x:c>
      <x:c r="Q12" s="68" t="n">
        <x:v>22232.223255813955</x:v>
      </x:c>
      <x:c r="R12" s="55" t="str">
        <x:v>Custer County, SD</x:v>
      </x:c>
      <x:c r="S12" s="55" t="str">
        <x:v>County</x:v>
      </x:c>
      <x:c r="T12" s="69" t="n">
        <x:v>8.342</x:v>
      </x:c>
      <x:c r="U12" s="53"/>
      <x:c r="V12" s="53"/>
      <x:c r="W12" s="53"/>
      <x:c r="X12" s="53"/>
      <x:c r="Y12" s="53"/>
      <x:c r="Z12" s="53"/>
    </x:row>
    <x:row r="13">
      <x:c r="A13" s="65" t="n">
        <x:v>2020</x:v>
      </x:c>
      <x:c r="B13" s="55" t="str">
        <x:v>46033</x:v>
      </x:c>
      <x:c r="C13" s="55" t="str">
        <x:v>Tourism Total (71+72)</x:v>
      </x:c>
      <x:c r="D13" s="66" t="n">
        <x:v>64</x:v>
      </x:c>
      <x:c r="E13" s="66" t="n">
        <x:v>529</x:v>
      </x:c>
      <x:c r="F13" s="66" t="n">
        <x:v>13943861</x:v>
      </x:c>
      <x:c r="G13" s="66" t="n">
        <x:v>330</x:v>
      </x:c>
      <x:c r="H13" s="66" t="n">
        <x:v>1695</x:v>
      </x:c>
      <x:c r="I13" s="66" t="n">
        <x:v>62073304</x:v>
      </x:c>
      <x:c r="J13" s="67" t="n">
        <x:v>0.31209439528023597</x:v>
      </x:c>
      <x:c r="K13" s="67" t="n">
        <x:v>0.2246353923741517</x:v>
      </x:c>
      <x:c r="L13" s="67" t="n">
        <x:v>0.19393939393939394</x:v>
      </x:c>
      <x:c r="M13" s="68" t="n">
        <x:v>7.6720210980580195</x:v>
      </x:c>
      <x:c r="N13" s="68" t="n">
        <x:v>63.41404938863582</x:v>
      </x:c>
      <x:c r="O13" s="68" t="n">
        <x:v>1671.5249340685687</x:v>
      </x:c>
      <x:c r="P13" s="68" t="n">
        <x:v>8.265625</x:v>
      </x:c>
      <x:c r="Q13" s="68" t="n">
        <x:v>26358.905482041588</x:v>
      </x:c>
      <x:c r="R13" s="55" t="str">
        <x:v>Custer County, SD</x:v>
      </x:c>
      <x:c r="S13" s="55" t="str">
        <x:v>County</x:v>
      </x:c>
      <x:c r="T13" s="69" t="n">
        <x:v>8.342</x:v>
      </x:c>
      <x:c r="U13" s="53"/>
      <x:c r="V13" s="53"/>
      <x:c r="W13" s="53"/>
      <x:c r="X13" s="53"/>
      <x:c r="Y13" s="53"/>
      <x:c r="Z13" s="53"/>
    </x:row>
    <x:row r="14">
      <x:c r="A14" s="65" t="n">
        <x:v>2020</x:v>
      </x:c>
      <x:c r="B14" s="55" t="str">
        <x:v>46000</x:v>
      </x:c>
      <x:c r="C14" s="55" t="str">
        <x:v>Arts/Entertainment</x:v>
      </x:c>
      <x:c r="D14" s="66" t="n">
        <x:v>719</x:v>
      </x:c>
      <x:c r="E14" s="66" t="n">
        <x:v>6170</x:v>
      </x:c>
      <x:c r="F14" s="66" t="n">
        <x:v>128010376</x:v>
      </x:c>
      <x:c r="G14" s="66" t="n">
        <x:v>32502</x:v>
      </x:c>
      <x:c r="H14" s="66" t="n">
        <x:v>344581</x:v>
      </x:c>
      <x:c r="I14" s="66" t="n">
        <x:v>17057078706</x:v>
      </x:c>
      <x:c r="J14" s="67" t="n">
        <x:v>0.017905804440755586</x:v>
      </x:c>
      <x:c r="K14" s="67" t="n">
        <x:v>0.007504824138201992</x:v>
      </x:c>
      <x:c r="L14" s="67" t="n">
        <x:v>0.022121715586733124</x:v>
      </x:c>
      <x:c r="M14" s="68" t="n">
        <x:v>0.8098597895040369</x:v>
      </x:c>
      <x:c r="N14" s="68" t="n">
        <x:v>6.94970083621684</x:v>
      </x:c>
      <x:c r="O14" s="68" t="n">
        <x:v>144.18700439734718</x:v>
      </x:c>
      <x:c r="P14" s="68" t="n">
        <x:v>8.581363004172461</x:v>
      </x:c>
      <x:c r="Q14" s="68" t="n">
        <x:v>20747.22463533225</x:v>
      </x:c>
      <x:c r="R14" s="55" t="str">
        <x:v>South Dakota</x:v>
      </x:c>
      <x:c r="S14" s="55" t="str">
        <x:v>State</x:v>
      </x:c>
      <x:c r="T14" s="69" t="n">
        <x:v>887.808</x:v>
      </x:c>
      <x:c r="U14" s="53"/>
      <x:c r="V14" s="53"/>
      <x:c r="W14" s="53"/>
      <x:c r="X14" s="53"/>
      <x:c r="Y14" s="53"/>
      <x:c r="Z14" s="53"/>
    </x:row>
    <x:row r="15">
      <x:c r="A15" s="65" t="n">
        <x:v>2020</x:v>
      </x:c>
      <x:c r="B15" s="55" t="str">
        <x:v>46081</x:v>
      </x:c>
      <x:c r="C15" s="55" t="str">
        <x:v>Arts/Entertainment</x:v>
      </x:c>
      <x:c r="D15" s="66" t="n">
        <x:v>41</x:v>
      </x:c>
      <x:c r="E15" s="66" t="n">
        <x:v>462</x:v>
      </x:c>
      <x:c r="F15" s="66" t="n">
        <x:v>11302898</x:v>
      </x:c>
      <x:c r="G15" s="66" t="n">
        <x:v>1254</x:v>
      </x:c>
      <x:c r="H15" s="66" t="n">
        <x:v>9960</x:v>
      </x:c>
      <x:c r="I15" s="66" t="n">
        <x:v>409818899</x:v>
      </x:c>
      <x:c r="J15" s="67" t="n">
        <x:v>0.0463855421686747</x:v>
      </x:c>
      <x:c r="K15" s="67" t="n">
        <x:v>0.02758022635749651</x:v>
      </x:c>
      <x:c r="L15" s="67" t="n">
        <x:v>0.03269537480063796</x:v>
      </x:c>
      <x:c r="M15" s="68"/>
      <x:c r="N15" s="68"/>
      <x:c r="O15" s="68"/>
      <x:c r="P15" s="68" t="n">
        <x:v>11.268292682926829</x:v>
      </x:c>
      <x:c r="Q15" s="68" t="n">
        <x:v>24465.147186147187</x:v>
      </x:c>
      <x:c r="R15" s="55" t="str">
        <x:v>Lawrence County, SD</x:v>
      </x:c>
      <x:c r="S15" s="55" t="str">
        <x:v>County</x:v>
      </x:c>
      <x:c r="T15" s="69"/>
      <x:c r="U15" s="53"/>
      <x:c r="V15" s="53"/>
      <x:c r="W15" s="53"/>
      <x:c r="X15" s="53"/>
      <x:c r="Y15" s="53"/>
      <x:c r="Z15" s="53"/>
    </x:row>
    <x:row r="16">
      <x:c r="A16" s="65" t="n">
        <x:v>2020</x:v>
      </x:c>
      <x:c r="B16" s="55" t="str">
        <x:v>46000</x:v>
      </x:c>
      <x:c r="C16" s="55" t="str">
        <x:v>Accommodation/Food</x:v>
      </x:c>
      <x:c r="D16" s="66" t="n">
        <x:v>2465</x:v>
      </x:c>
      <x:c r="E16" s="66" t="n">
        <x:v>34829</x:v>
      </x:c>
      <x:c r="F16" s="66" t="n">
        <x:v>643970208</x:v>
      </x:c>
      <x:c r="G16" s="66" t="n">
        <x:v>32502</x:v>
      </x:c>
      <x:c r="H16" s="66" t="n">
        <x:v>344581</x:v>
      </x:c>
      <x:c r="I16" s="66" t="n">
        <x:v>17057078706</x:v>
      </x:c>
      <x:c r="J16" s="67" t="n">
        <x:v>0.10107637971913716</x:v>
      </x:c>
      <x:c r="K16" s="67" t="n">
        <x:v>0.03775383927691422</x:v>
      </x:c>
      <x:c r="L16" s="67" t="n">
        <x:v>0.0758414866777429</x:v>
      </x:c>
      <x:c r="M16" s="68" t="n">
        <x:v>2.776501225490196</x:v>
      </x:c>
      <x:c r="N16" s="68" t="n">
        <x:v>39.230329080161475</x:v>
      </x:c>
      <x:c r="O16" s="68" t="n">
        <x:v>725.3485077854672</x:v>
      </x:c>
      <x:c r="P16" s="68" t="n">
        <x:v>14.129411764705882</x:v>
      </x:c>
      <x:c r="Q16" s="68" t="n">
        <x:v>18489.483131872865</x:v>
      </x:c>
      <x:c r="R16" s="55" t="str">
        <x:v>South Dakota</x:v>
      </x:c>
      <x:c r="S16" s="55" t="str">
        <x:v>State</x:v>
      </x:c>
      <x:c r="T16" s="69" t="n">
        <x:v>887.808</x:v>
      </x:c>
      <x:c r="U16" s="53"/>
      <x:c r="V16" s="53"/>
      <x:c r="W16" s="53"/>
      <x:c r="X16" s="53"/>
      <x:c r="Y16" s="53"/>
      <x:c r="Z16" s="53"/>
    </x:row>
    <x:row r="17">
      <x:c r="A17" s="65" t="n">
        <x:v>2020</x:v>
      </x:c>
      <x:c r="B17" s="55" t="str">
        <x:v>46081</x:v>
      </x:c>
      <x:c r="C17" s="55" t="str">
        <x:v>Accommodation/Food</x:v>
      </x:c>
      <x:c r="D17" s="66" t="n">
        <x:v>145</x:v>
      </x:c>
      <x:c r="E17" s="66" t="n">
        <x:v>2575</x:v>
      </x:c>
      <x:c r="F17" s="66" t="n">
        <x:v>62475879</x:v>
      </x:c>
      <x:c r="G17" s="66" t="n">
        <x:v>1254</x:v>
      </x:c>
      <x:c r="H17" s="66" t="n">
        <x:v>9960</x:v>
      </x:c>
      <x:c r="I17" s="66" t="n">
        <x:v>409818899</x:v>
      </x:c>
      <x:c r="J17" s="67" t="n">
        <x:v>0.25853413654618473</x:v>
      </x:c>
      <x:c r="K17" s="67" t="n">
        <x:v>0.15244753024432872</x:v>
      </x:c>
      <x:c r="L17" s="67" t="n">
        <x:v>0.11562998405103668</x:v>
      </x:c>
      <x:c r="M17" s="68"/>
      <x:c r="N17" s="68"/>
      <x:c r="O17" s="68"/>
      <x:c r="P17" s="68" t="n">
        <x:v>17.75862068965517</x:v>
      </x:c>
      <x:c r="Q17" s="68" t="n">
        <x:v>24262.477281553398</x:v>
      </x:c>
      <x:c r="R17" s="55" t="str">
        <x:v>Lawrence County, SD</x:v>
      </x:c>
      <x:c r="S17" s="55" t="str">
        <x:v>County</x:v>
      </x:c>
      <x:c r="T17" s="69"/>
      <x:c r="U17" s="53"/>
      <x:c r="V17" s="53"/>
      <x:c r="W17" s="53"/>
      <x:c r="X17" s="53"/>
      <x:c r="Y17" s="53"/>
      <x:c r="Z17" s="53"/>
    </x:row>
    <x:row r="18">
      <x:c r="A18" s="65" t="n">
        <x:v>2020</x:v>
      </x:c>
      <x:c r="B18" s="55" t="str">
        <x:v>46081</x:v>
      </x:c>
      <x:c r="C18" s="55" t="str">
        <x:v>Tourism Total (71+72)</x:v>
      </x:c>
      <x:c r="D18" s="66" t="n">
        <x:v>186</x:v>
      </x:c>
      <x:c r="E18" s="66" t="n">
        <x:v>3037</x:v>
      </x:c>
      <x:c r="F18" s="66" t="n">
        <x:v>73778777</x:v>
      </x:c>
      <x:c r="G18" s="66" t="n">
        <x:v>1254</x:v>
      </x:c>
      <x:c r="H18" s="66" t="n">
        <x:v>9960</x:v>
      </x:c>
      <x:c r="I18" s="66" t="n">
        <x:v>409818899</x:v>
      </x:c>
      <x:c r="J18" s="67" t="n">
        <x:v>0.3049196787148594</x:v>
      </x:c>
      <x:c r="K18" s="67" t="n">
        <x:v>0.18002775660182524</x:v>
      </x:c>
      <x:c r="L18" s="67" t="n">
        <x:v>0.14832535885167464</x:v>
      </x:c>
      <x:c r="M18" s="68"/>
      <x:c r="N18" s="68"/>
      <x:c r="O18" s="68"/>
      <x:c r="P18" s="68" t="n">
        <x:v>16.327956989247312</x:v>
      </x:c>
      <x:c r="Q18" s="68" t="n">
        <x:v>24293.308198880473</x:v>
      </x:c>
      <x:c r="R18" s="55" t="str">
        <x:v>Lawrence County, SD</x:v>
      </x:c>
      <x:c r="S18" s="55" t="str">
        <x:v>County</x:v>
      </x:c>
      <x:c r="T18" s="69"/>
      <x:c r="U18" s="53"/>
      <x:c r="V18" s="53"/>
      <x:c r="W18" s="53"/>
      <x:c r="X18" s="53"/>
      <x:c r="Y18" s="53"/>
      <x:c r="Z18" s="53"/>
    </x:row>
    <x:row r="19">
      <x:c r="A19" s="65" t="n">
        <x:v>2020</x:v>
      </x:c>
      <x:c r="B19" s="55" t="str">
        <x:v>46000</x:v>
      </x:c>
      <x:c r="C19" s="55" t="str">
        <x:v>Tourism Total (71+72)</x:v>
      </x:c>
      <x:c r="D19" s="66" t="n">
        <x:v>3184</x:v>
      </x:c>
      <x:c r="E19" s="66" t="n">
        <x:v>40999</x:v>
      </x:c>
      <x:c r="F19" s="66" t="n">
        <x:v>771980584</x:v>
      </x:c>
      <x:c r="G19" s="66" t="n">
        <x:v>32502</x:v>
      </x:c>
      <x:c r="H19" s="66" t="n">
        <x:v>344581</x:v>
      </x:c>
      <x:c r="I19" s="66" t="n">
        <x:v>17057078706</x:v>
      </x:c>
      <x:c r="J19" s="67" t="n">
        <x:v>0.11898218415989274</x:v>
      </x:c>
      <x:c r="K19" s="67" t="n">
        <x:v>0.04525866341511621</x:v>
      </x:c>
      <x:c r="L19" s="67" t="n">
        <x:v>0.09796320226447604</x:v>
      </x:c>
      <x:c r="M19" s="68" t="n">
        <x:v>3.586361014994233</x:v>
      </x:c>
      <x:c r="N19" s="68" t="n">
        <x:v>46.18002991637832</x:v>
      </x:c>
      <x:c r="O19" s="68" t="n">
        <x:v>869.5355121828143</x:v>
      </x:c>
      <x:c r="P19" s="68" t="n">
        <x:v>12.876570351758794</x:v>
      </x:c>
      <x:c r="Q19" s="68" t="n">
        <x:v>18829.253981804435</x:v>
      </x:c>
      <x:c r="R19" s="55" t="str">
        <x:v>South Dakota</x:v>
      </x:c>
      <x:c r="S19" s="55" t="str">
        <x:v>State</x:v>
      </x:c>
      <x:c r="T19" s="69" t="n">
        <x:v>887.808</x:v>
      </x:c>
      <x:c r="U19" s="53"/>
      <x:c r="V19" s="53"/>
      <x:c r="W19" s="53"/>
      <x:c r="X19" s="53"/>
      <x:c r="Y19" s="53"/>
      <x:c r="Z19" s="53"/>
    </x:row>
    <x:row r="20">
      <x:c r="A20" s="65" t="n">
        <x:v>2021</x:v>
      </x:c>
      <x:c r="B20" s="55" t="str">
        <x:v>46033</x:v>
      </x:c>
      <x:c r="C20" s="55" t="str">
        <x:v>Arts/Entertainment</x:v>
      </x:c>
      <x:c r="D20" s="66" t="n">
        <x:v>10</x:v>
      </x:c>
      <x:c r="E20" s="66" t="n">
        <x:v>120</x:v>
      </x:c>
      <x:c r="F20" s="66" t="n">
        <x:v>5146038</x:v>
      </x:c>
      <x:c r="G20" s="66" t="n">
        <x:v>351</x:v>
      </x:c>
      <x:c r="H20" s="66" t="n">
        <x:v>1955</x:v>
      </x:c>
      <x:c r="I20" s="66" t="n">
        <x:v>76072702</x:v>
      </x:c>
      <x:c r="J20" s="67" t="n">
        <x:v>0.061381074168797956</x:v>
      </x:c>
      <x:c r="K20" s="67" t="n">
        <x:v>0.06764631549435433</x:v>
      </x:c>
      <x:c r="L20" s="67" t="n">
        <x:v>0.02849002849002849</x:v>
      </x:c>
      <x:c r="M20" s="68" t="n">
        <x:v>1.1563367252543941</x:v>
      </x:c>
      <x:c r="N20" s="68" t="n">
        <x:v>13.876040703052729</x:v>
      </x:c>
      <x:c r="O20" s="68" t="n">
        <x:v>595.0552728954672</x:v>
      </x:c>
      <x:c r="P20" s="68" t="n">
        <x:v>12</x:v>
      </x:c>
      <x:c r="Q20" s="68" t="n">
        <x:v>42883.65</x:v>
      </x:c>
      <x:c r="R20" s="55" t="str">
        <x:v>Custer County, SD</x:v>
      </x:c>
      <x:c r="S20" s="55" t="str">
        <x:v>County</x:v>
      </x:c>
      <x:c r="T20" s="69" t="n">
        <x:v>8.648</x:v>
      </x:c>
      <x:c r="U20" s="53"/>
      <x:c r="V20" s="53"/>
      <x:c r="W20" s="53"/>
      <x:c r="X20" s="53"/>
      <x:c r="Y20" s="53"/>
      <x:c r="Z20" s="53"/>
    </x:row>
    <x:row r="21">
      <x:c r="A21" s="65" t="n">
        <x:v>2021</x:v>
      </x:c>
      <x:c r="B21" s="55" t="str">
        <x:v>46033</x:v>
      </x:c>
      <x:c r="C21" s="55" t="str">
        <x:v>Accommodation/Food</x:v>
      </x:c>
      <x:c r="D21" s="66" t="n">
        <x:v>58</x:v>
      </x:c>
      <x:c r="E21" s="66" t="n">
        <x:v>561</x:v>
      </x:c>
      <x:c r="F21" s="66" t="n">
        <x:v>14636794</x:v>
      </x:c>
      <x:c r="G21" s="66" t="n">
        <x:v>351</x:v>
      </x:c>
      <x:c r="H21" s="66" t="n">
        <x:v>1955</x:v>
      </x:c>
      <x:c r="I21" s="66" t="n">
        <x:v>76072702</x:v>
      </x:c>
      <x:c r="J21" s="67" t="n">
        <x:v>0.28695652173913044</x:v>
      </x:c>
      <x:c r="K21" s="67" t="n">
        <x:v>0.19240533877710825</x:v>
      </x:c>
      <x:c r="L21" s="67" t="n">
        <x:v>0.16524216524216523</x:v>
      </x:c>
      <x:c r="M21" s="68" t="n">
        <x:v>6.706753006475486</x:v>
      </x:c>
      <x:c r="N21" s="68" t="n">
        <x:v>64.87049028677151</x:v>
      </x:c>
      <x:c r="O21" s="68" t="n">
        <x:v>1692.5062442183164</x:v>
      </x:c>
      <x:c r="P21" s="68" t="n">
        <x:v>9.672413793103448</x:v>
      </x:c>
      <x:c r="Q21" s="68" t="n">
        <x:v>26090.541889483065</x:v>
      </x:c>
      <x:c r="R21" s="55" t="str">
        <x:v>Custer County, SD</x:v>
      </x:c>
      <x:c r="S21" s="55" t="str">
        <x:v>County</x:v>
      </x:c>
      <x:c r="T21" s="69" t="n">
        <x:v>8.648</x:v>
      </x:c>
      <x:c r="U21" s="53"/>
      <x:c r="V21" s="53"/>
      <x:c r="W21" s="53"/>
      <x:c r="X21" s="53"/>
      <x:c r="Y21" s="53"/>
      <x:c r="Z21" s="53"/>
    </x:row>
    <x:row r="22">
      <x:c r="A22" s="65" t="n">
        <x:v>2021</x:v>
      </x:c>
      <x:c r="B22" s="55" t="str">
        <x:v>46033</x:v>
      </x:c>
      <x:c r="C22" s="55" t="str">
        <x:v>Tourism Total (71+72)</x:v>
      </x:c>
      <x:c r="D22" s="66" t="n">
        <x:v>68</x:v>
      </x:c>
      <x:c r="E22" s="66" t="n">
        <x:v>681</x:v>
      </x:c>
      <x:c r="F22" s="66" t="n">
        <x:v>19782832</x:v>
      </x:c>
      <x:c r="G22" s="66" t="n">
        <x:v>351</x:v>
      </x:c>
      <x:c r="H22" s="66" t="n">
        <x:v>1955</x:v>
      </x:c>
      <x:c r="I22" s="66" t="n">
        <x:v>76072702</x:v>
      </x:c>
      <x:c r="J22" s="67" t="n">
        <x:v>0.3483375959079284</x:v>
      </x:c>
      <x:c r="K22" s="67" t="n">
        <x:v>0.2600516542714626</x:v>
      </x:c>
      <x:c r="L22" s="67" t="n">
        <x:v>0.19373219373219372</x:v>
      </x:c>
      <x:c r="M22" s="68" t="n">
        <x:v>7.86308973172988</x:v>
      </x:c>
      <x:c r="N22" s="68" t="n">
        <x:v>78.74653098982424</x:v>
      </x:c>
      <x:c r="O22" s="68" t="n">
        <x:v>2287.5615171137833</x:v>
      </x:c>
      <x:c r="P22" s="68" t="n">
        <x:v>10.014705882352942</x:v>
      </x:c>
      <x:c r="Q22" s="68" t="n">
        <x:v>29049.6798825257</x:v>
      </x:c>
      <x:c r="R22" s="55" t="str">
        <x:v>Custer County, SD</x:v>
      </x:c>
      <x:c r="S22" s="55" t="str">
        <x:v>County</x:v>
      </x:c>
      <x:c r="T22" s="69" t="n">
        <x:v>8.648</x:v>
      </x:c>
      <x:c r="U22" s="53"/>
      <x:c r="V22" s="53"/>
      <x:c r="W22" s="53"/>
      <x:c r="X22" s="53"/>
      <x:c r="Y22" s="53"/>
      <x:c r="Z22" s="53"/>
    </x:row>
    <x:row r="23">
      <x:c r="A23" s="65" t="n">
        <x:v>2021</x:v>
      </x:c>
      <x:c r="B23" s="55" t="str">
        <x:v>46081</x:v>
      </x:c>
      <x:c r="C23" s="55" t="str">
        <x:v>Arts/Entertainment</x:v>
      </x:c>
      <x:c r="D23" s="66" t="n">
        <x:v>41</x:v>
      </x:c>
      <x:c r="E23" s="66" t="n">
        <x:v>509</x:v>
      </x:c>
      <x:c r="F23" s="66" t="n">
        <x:v>13777325</x:v>
      </x:c>
      <x:c r="G23" s="66" t="n">
        <x:v>1363</x:v>
      </x:c>
      <x:c r="H23" s="66" t="n">
        <x:v>10696</x:v>
      </x:c>
      <x:c r="I23" s="66" t="n">
        <x:v>475234729</x:v>
      </x:c>
      <x:c r="J23" s="67" t="n">
        <x:v>0.047587883320867615</x:v>
      </x:c>
      <x:c r="K23" s="67" t="n">
        <x:v>0.028990568574377065</x:v>
      </x:c>
      <x:c r="L23" s="67" t="n">
        <x:v>0.03008070432868672</x:v>
      </x:c>
      <x:c r="M23" s="68"/>
      <x:c r="N23" s="68"/>
      <x:c r="O23" s="68"/>
      <x:c r="P23" s="68" t="n">
        <x:v>12.414634146341463</x:v>
      </x:c>
      <x:c r="Q23" s="68" t="n">
        <x:v>27067.436149312376</x:v>
      </x:c>
      <x:c r="R23" s="55" t="str">
        <x:v>Lawrence County, SD</x:v>
      </x:c>
      <x:c r="S23" s="55" t="str">
        <x:v>County</x:v>
      </x:c>
      <x:c r="T23" s="69"/>
      <x:c r="U23" s="53"/>
      <x:c r="V23" s="53"/>
      <x:c r="W23" s="53"/>
      <x:c r="X23" s="53"/>
      <x:c r="Y23" s="53"/>
      <x:c r="Z23" s="53"/>
    </x:row>
    <x:row r="24">
      <x:c r="A24" s="65" t="n">
        <x:v>2021</x:v>
      </x:c>
      <x:c r="B24" s="55" t="str">
        <x:v>46000</x:v>
      </x:c>
      <x:c r="C24" s="55" t="str">
        <x:v>Arts/Entertainment</x:v>
      </x:c>
      <x:c r="D24" s="66" t="n">
        <x:v>724</x:v>
      </x:c>
      <x:c r="E24" s="66" t="n">
        <x:v>6914</x:v>
      </x:c>
      <x:c r="F24" s="66" t="n">
        <x:v>147481589</x:v>
      </x:c>
      <x:c r="G24" s="66" t="n">
        <x:v>34119</x:v>
      </x:c>
      <x:c r="H24" s="66" t="n">
        <x:v>356870</x:v>
      </x:c>
      <x:c r="I24" s="66" t="n">
        <x:v>18481345645</x:v>
      </x:c>
      <x:c r="J24" s="67" t="n">
        <x:v>0.01937400173732732</x:v>
      </x:c>
      <x:c r="K24" s="67" t="n">
        <x:v>0.007980024389614732</x:v>
      </x:c>
      <x:c r="L24" s="67" t="n">
        <x:v>0.021219848178434305</x:v>
      </x:c>
      <x:c r="M24" s="68" t="n">
        <x:v>0.80776255351148</x:v>
      </x:c>
      <x:c r="N24" s="68" t="n">
        <x:v>7.713909247207696</x:v>
      </x:c>
      <x:c r="O24" s="68" t="n">
        <x:v>164.5443438212301</x:v>
      </x:c>
      <x:c r="P24" s="68" t="n">
        <x:v>9.549723756906078</x:v>
      </x:c>
      <x:c r="Q24" s="68" t="n">
        <x:v>21330.86332079838</x:v>
      </x:c>
      <x:c r="R24" s="55" t="str">
        <x:v>South Dakota</x:v>
      </x:c>
      <x:c r="S24" s="55" t="str">
        <x:v>State</x:v>
      </x:c>
      <x:c r="T24" s="69" t="n">
        <x:v>896.303</x:v>
      </x:c>
      <x:c r="U24" s="53"/>
      <x:c r="V24" s="53"/>
      <x:c r="W24" s="53"/>
      <x:c r="X24" s="53"/>
      <x:c r="Y24" s="53"/>
      <x:c r="Z24" s="53"/>
    </x:row>
    <x:row r="25">
      <x:c r="A25" s="65" t="n">
        <x:v>2021</x:v>
      </x:c>
      <x:c r="B25" s="55" t="str">
        <x:v>46000</x:v>
      </x:c>
      <x:c r="C25" s="55" t="str">
        <x:v>Accommodation/Food</x:v>
      </x:c>
      <x:c r="D25" s="66" t="n">
        <x:v>2510</x:v>
      </x:c>
      <x:c r="E25" s="66" t="n">
        <x:v>38707</x:v>
      </x:c>
      <x:c r="F25" s="66" t="n">
        <x:v>793433487</x:v>
      </x:c>
      <x:c r="G25" s="66" t="n">
        <x:v>34119</x:v>
      </x:c>
      <x:c r="H25" s="66" t="n">
        <x:v>356870</x:v>
      </x:c>
      <x:c r="I25" s="66" t="n">
        <x:v>18481345645</x:v>
      </x:c>
      <x:c r="J25" s="67" t="n">
        <x:v>0.10846246532350716</x:v>
      </x:c>
      <x:c r="K25" s="67" t="n">
        <x:v>0.04293158638124697</x:v>
      </x:c>
      <x:c r="L25" s="67" t="n">
        <x:v>0.0735660482429145</x:v>
      </x:c>
      <x:c r="M25" s="68" t="n">
        <x:v>2.800392278057755</x:v>
      </x:c>
      <x:c r="N25" s="68" t="n">
        <x:v>43.1851728712277</x:v>
      </x:c>
      <x:c r="O25" s="68" t="n">
        <x:v>885.229087708063</x:v>
      </x:c>
      <x:c r="P25" s="68" t="n">
        <x:v>15.421115537848605</x:v>
      </x:c>
      <x:c r="Q25" s="68" t="n">
        <x:v>20498.449556927688</x:v>
      </x:c>
      <x:c r="R25" s="55" t="str">
        <x:v>South Dakota</x:v>
      </x:c>
      <x:c r="S25" s="55" t="str">
        <x:v>State</x:v>
      </x:c>
      <x:c r="T25" s="69" t="n">
        <x:v>896.303</x:v>
      </x:c>
      <x:c r="U25" s="53"/>
      <x:c r="V25" s="53"/>
      <x:c r="W25" s="53"/>
      <x:c r="X25" s="53"/>
      <x:c r="Y25" s="53"/>
      <x:c r="Z25" s="53"/>
    </x:row>
    <x:row r="26">
      <x:c r="A26" s="65" t="n">
        <x:v>2021</x:v>
      </x:c>
      <x:c r="B26" s="55" t="str">
        <x:v>46081</x:v>
      </x:c>
      <x:c r="C26" s="55" t="str">
        <x:v>Accommodation/Food</x:v>
      </x:c>
      <x:c r="D26" s="66" t="n">
        <x:v>149</x:v>
      </x:c>
      <x:c r="E26" s="66" t="n">
        <x:v>2920</x:v>
      </x:c>
      <x:c r="F26" s="66" t="n">
        <x:v>78655549</x:v>
      </x:c>
      <x:c r="G26" s="66" t="n">
        <x:v>1363</x:v>
      </x:c>
      <x:c r="H26" s="66" t="n">
        <x:v>10696</x:v>
      </x:c>
      <x:c r="I26" s="66" t="n">
        <x:v>475234729</x:v>
      </x:c>
      <x:c r="J26" s="67" t="n">
        <x:v>0.27299925205684367</x:v>
      </x:c>
      <x:c r="K26" s="67" t="n">
        <x:v>0.16550884057970436</x:v>
      </x:c>
      <x:c r="L26" s="67" t="n">
        <x:v>0.10931768158473955</x:v>
      </x:c>
      <x:c r="M26" s="68"/>
      <x:c r="N26" s="68"/>
      <x:c r="O26" s="68"/>
      <x:c r="P26" s="68" t="n">
        <x:v>19.59731543624161</x:v>
      </x:c>
      <x:c r="Q26" s="68" t="n">
        <x:v>26936.83184931507</x:v>
      </x:c>
      <x:c r="R26" s="55" t="str">
        <x:v>Lawrence County, SD</x:v>
      </x:c>
      <x:c r="S26" s="55" t="str">
        <x:v>County</x:v>
      </x:c>
      <x:c r="T26" s="69"/>
      <x:c r="U26" s="53"/>
      <x:c r="V26" s="53"/>
      <x:c r="W26" s="53"/>
      <x:c r="X26" s="53"/>
      <x:c r="Y26" s="53"/>
      <x:c r="Z26" s="53"/>
    </x:row>
    <x:row r="27">
      <x:c r="A27" s="65" t="n">
        <x:v>2021</x:v>
      </x:c>
      <x:c r="B27" s="55" t="str">
        <x:v>46000</x:v>
      </x:c>
      <x:c r="C27" s="55" t="str">
        <x:v>Tourism Total (71+72)</x:v>
      </x:c>
      <x:c r="D27" s="66" t="n">
        <x:v>3234</x:v>
      </x:c>
      <x:c r="E27" s="66" t="n">
        <x:v>45621</x:v>
      </x:c>
      <x:c r="F27" s="66" t="n">
        <x:v>940915076</x:v>
      </x:c>
      <x:c r="G27" s="66" t="n">
        <x:v>34119</x:v>
      </x:c>
      <x:c r="H27" s="66" t="n">
        <x:v>356870</x:v>
      </x:c>
      <x:c r="I27" s="66" t="n">
        <x:v>18481345645</x:v>
      </x:c>
      <x:c r="J27" s="67" t="n">
        <x:v>0.12783646706083449</x:v>
      </x:c>
      <x:c r="K27" s="67" t="n">
        <x:v>0.050911610770861704</x:v>
      </x:c>
      <x:c r="L27" s="67" t="n">
        <x:v>0.09478589642134881</x:v>
      </x:c>
      <x:c r="M27" s="68" t="n">
        <x:v>3.608154831569235</x:v>
      </x:c>
      <x:c r="N27" s="68" t="n">
        <x:v>50.899082118435395</x:v>
      </x:c>
      <x:c r="O27" s="68" t="n">
        <x:v>1049.773431529293</x:v>
      </x:c>
      <x:c r="P27" s="68" t="n">
        <x:v>14.106679035250464</x:v>
      </x:c>
      <x:c r="Q27" s="68" t="n">
        <x:v>20624.604370794154</x:v>
      </x:c>
      <x:c r="R27" s="55" t="str">
        <x:v>South Dakota</x:v>
      </x:c>
      <x:c r="S27" s="55" t="str">
        <x:v>State</x:v>
      </x:c>
      <x:c r="T27" s="69" t="n">
        <x:v>896.303</x:v>
      </x:c>
      <x:c r="U27" s="53"/>
      <x:c r="V27" s="53"/>
      <x:c r="W27" s="53"/>
      <x:c r="X27" s="53"/>
      <x:c r="Y27" s="53"/>
      <x:c r="Z27" s="53"/>
    </x:row>
    <x:row r="28">
      <x:c r="A28" s="65" t="n">
        <x:v>2021</x:v>
      </x:c>
      <x:c r="B28" s="55" t="str">
        <x:v>46081</x:v>
      </x:c>
      <x:c r="C28" s="55" t="str">
        <x:v>Tourism Total (71+72)</x:v>
      </x:c>
      <x:c r="D28" s="66" t="n">
        <x:v>190</x:v>
      </x:c>
      <x:c r="E28" s="66" t="n">
        <x:v>3429</x:v>
      </x:c>
      <x:c r="F28" s="66" t="n">
        <x:v>92432874</x:v>
      </x:c>
      <x:c r="G28" s="66" t="n">
        <x:v>1363</x:v>
      </x:c>
      <x:c r="H28" s="66" t="n">
        <x:v>10696</x:v>
      </x:c>
      <x:c r="I28" s="66" t="n">
        <x:v>475234729</x:v>
      </x:c>
      <x:c r="J28" s="67" t="n">
        <x:v>0.3205871353777113</x:v>
      </x:c>
      <x:c r="K28" s="67" t="n">
        <x:v>0.19449940915408143</x:v>
      </x:c>
      <x:c r="L28" s="67" t="n">
        <x:v>0.13939838591342626</x:v>
      </x:c>
      <x:c r="M28" s="68"/>
      <x:c r="N28" s="68"/>
      <x:c r="O28" s="68"/>
      <x:c r="P28" s="68" t="n">
        <x:v>18.04736842105263</x:v>
      </x:c>
      <x:c r="Q28" s="68" t="n">
        <x:v>26956.21872265967</x:v>
      </x:c>
      <x:c r="R28" s="55" t="str">
        <x:v>Lawrence County, SD</x:v>
      </x:c>
      <x:c r="S28" s="55" t="str">
        <x:v>County</x:v>
      </x:c>
      <x:c r="T28" s="69"/>
      <x:c r="U28" s="53"/>
      <x:c r="V28" s="53"/>
      <x:c r="W28" s="53"/>
      <x:c r="X28" s="53"/>
      <x:c r="Y28" s="53"/>
      <x:c r="Z28" s="53"/>
    </x:row>
    <x:row r="29">
      <x:c r="A29" s="65" t="n">
        <x:v>2022</x:v>
      </x:c>
      <x:c r="B29" s="55" t="str">
        <x:v>46033</x:v>
      </x:c>
      <x:c r="C29" s="55" t="str">
        <x:v>Arts/Entertainment</x:v>
      </x:c>
      <x:c r="D29" s="66" t="n">
        <x:v>8</x:v>
      </x:c>
      <x:c r="E29" s="66" t="n">
        <x:v>131</x:v>
      </x:c>
      <x:c r="F29" s="66" t="n">
        <x:v>5648784</x:v>
      </x:c>
      <x:c r="G29" s="66" t="n">
        <x:v>365</x:v>
      </x:c>
      <x:c r="H29" s="66" t="n">
        <x:v>2010</x:v>
      </x:c>
      <x:c r="I29" s="66" t="n">
        <x:v>82925519</x:v>
      </x:c>
      <x:c r="J29" s="67" t="n">
        <x:v>0.06517412935323383</x:v>
      </x:c>
      <x:c r="K29" s="67" t="n">
        <x:v>0.06811876570829783</x:v>
      </x:c>
      <x:c r="L29" s="67" t="n">
        <x:v>0.021917808219178082</x:v>
      </x:c>
      <x:c r="M29" s="68" t="n">
        <x:v>0.8865248226950355</x:v>
      </x:c>
      <x:c r="N29" s="68" t="n">
        <x:v>14.516843971631207</x:v>
      </x:c>
      <x:c r="O29" s="68" t="n">
        <x:v>625.9734042553191</x:v>
      </x:c>
      <x:c r="P29" s="68" t="n">
        <x:v>16.375</x:v>
      </x:c>
      <x:c r="Q29" s="68" t="n">
        <x:v>43120.48854961832</x:v>
      </x:c>
      <x:c r="R29" s="55" t="str">
        <x:v>Custer County, SD</x:v>
      </x:c>
      <x:c r="S29" s="55" t="str">
        <x:v>County</x:v>
      </x:c>
      <x:c r="T29" s="69" t="n">
        <x:v>9.024</x:v>
      </x:c>
      <x:c r="U29" s="53"/>
      <x:c r="V29" s="53"/>
      <x:c r="W29" s="53"/>
      <x:c r="X29" s="53"/>
      <x:c r="Y29" s="53"/>
      <x:c r="Z29" s="53"/>
    </x:row>
    <x:row r="30">
      <x:c r="A30" s="65" t="n">
        <x:v>2022</x:v>
      </x:c>
      <x:c r="B30" s="55" t="str">
        <x:v>46033</x:v>
      </x:c>
      <x:c r="C30" s="55" t="str">
        <x:v>Accommodation/Food</x:v>
      </x:c>
      <x:c r="D30" s="66" t="n">
        <x:v>56</x:v>
      </x:c>
      <x:c r="E30" s="66" t="n">
        <x:v>582</x:v>
      </x:c>
      <x:c r="F30" s="66" t="n">
        <x:v>14054590</x:v>
      </x:c>
      <x:c r="G30" s="66" t="n">
        <x:v>365</x:v>
      </x:c>
      <x:c r="H30" s="66" t="n">
        <x:v>2010</x:v>
      </x:c>
      <x:c r="I30" s="66" t="n">
        <x:v>82925519</x:v>
      </x:c>
      <x:c r="J30" s="67" t="n">
        <x:v>0.28955223880597014</x:v>
      </x:c>
      <x:c r="K30" s="67" t="n">
        <x:v>0.16948449849315986</x:v>
      </x:c>
      <x:c r="L30" s="67" t="n">
        <x:v>0.15342465753424658</x:v>
      </x:c>
      <x:c r="M30" s="68" t="n">
        <x:v>6.205673758865249</x:v>
      </x:c>
      <x:c r="N30" s="68" t="n">
        <x:v>64.49468085106383</x:v>
      </x:c>
      <x:c r="O30" s="68" t="n">
        <x:v>1557.4678634751774</x:v>
      </x:c>
      <x:c r="P30" s="68" t="n">
        <x:v>10.392857142857142</x:v>
      </x:c>
      <x:c r="Q30" s="68" t="n">
        <x:v>24148.780068728523</x:v>
      </x:c>
      <x:c r="R30" s="55" t="str">
        <x:v>Custer County, SD</x:v>
      </x:c>
      <x:c r="S30" s="55" t="str">
        <x:v>County</x:v>
      </x:c>
      <x:c r="T30" s="69" t="n">
        <x:v>9.024</x:v>
      </x:c>
      <x:c r="U30" s="53"/>
      <x:c r="V30" s="53"/>
      <x:c r="W30" s="53"/>
      <x:c r="X30" s="53"/>
      <x:c r="Y30" s="53"/>
      <x:c r="Z30" s="53"/>
    </x:row>
    <x:row r="31">
      <x:c r="A31" s="65" t="n">
        <x:v>2022</x:v>
      </x:c>
      <x:c r="B31" s="55" t="str">
        <x:v>46033</x:v>
      </x:c>
      <x:c r="C31" s="55" t="str">
        <x:v>Tourism Total (71+72)</x:v>
      </x:c>
      <x:c r="D31" s="66" t="n">
        <x:v>64</x:v>
      </x:c>
      <x:c r="E31" s="66" t="n">
        <x:v>713</x:v>
      </x:c>
      <x:c r="F31" s="66" t="n">
        <x:v>19703374</x:v>
      </x:c>
      <x:c r="G31" s="66" t="n">
        <x:v>365</x:v>
      </x:c>
      <x:c r="H31" s="66" t="n">
        <x:v>2010</x:v>
      </x:c>
      <x:c r="I31" s="66" t="n">
        <x:v>82925519</x:v>
      </x:c>
      <x:c r="J31" s="67" t="n">
        <x:v>0.354726368159204</x:v>
      </x:c>
      <x:c r="K31" s="67" t="n">
        <x:v>0.2376032642014577</x:v>
      </x:c>
      <x:c r="L31" s="67" t="n">
        <x:v>0.17534246575342466</x:v>
      </x:c>
      <x:c r="M31" s="68" t="n">
        <x:v>7.092198581560284</x:v>
      </x:c>
      <x:c r="N31" s="68" t="n">
        <x:v>79.01152482269504</x:v>
      </x:c>
      <x:c r="O31" s="68" t="n">
        <x:v>2183.4412677304963</x:v>
      </x:c>
      <x:c r="P31" s="68" t="n">
        <x:v>11.140625</x:v>
      </x:c>
      <x:c r="Q31" s="68" t="n">
        <x:v>27634.465638148667</x:v>
      </x:c>
      <x:c r="R31" s="55" t="str">
        <x:v>Custer County, SD</x:v>
      </x:c>
      <x:c r="S31" s="55" t="str">
        <x:v>County</x:v>
      </x:c>
      <x:c r="T31" s="69" t="n">
        <x:v>9.024</x:v>
      </x:c>
      <x:c r="U31" s="53"/>
      <x:c r="V31" s="53"/>
      <x:c r="W31" s="53"/>
      <x:c r="X31" s="53"/>
      <x:c r="Y31" s="53"/>
      <x:c r="Z31" s="53"/>
    </x:row>
    <x:row r="32">
      <x:c r="A32" s="65" t="n">
        <x:v>2022</x:v>
      </x:c>
      <x:c r="B32" s="55" t="str">
        <x:v>46081</x:v>
      </x:c>
      <x:c r="C32" s="55" t="str">
        <x:v>Arts/Entertainment</x:v>
      </x:c>
      <x:c r="D32" s="66" t="n">
        <x:v>40</x:v>
      </x:c>
      <x:c r="E32" s="66" t="n">
        <x:v>493</x:v>
      </x:c>
      <x:c r="F32" s="66" t="n">
        <x:v>14246374</x:v>
      </x:c>
      <x:c r="G32" s="66" t="n">
        <x:v>1489</x:v>
      </x:c>
      <x:c r="H32" s="66" t="n">
        <x:v>11217</x:v>
      </x:c>
      <x:c r="I32" s="66" t="n">
        <x:v>532985223</x:v>
      </x:c>
      <x:c r="J32" s="67" t="n">
        <x:v>0.04395114558259784</x:v>
      </x:c>
      <x:c r="K32" s="67" t="n">
        <x:v>0.026729397711651004</x:v>
      </x:c>
      <x:c r="L32" s="67" t="n">
        <x:v>0.026863666890530557</x:v>
      </x:c>
      <x:c r="M32" s="68"/>
      <x:c r="N32" s="68"/>
      <x:c r="O32" s="68"/>
      <x:c r="P32" s="68" t="n">
        <x:v>12.325</x:v>
      </x:c>
      <x:c r="Q32" s="68" t="n">
        <x:v>28897.310344827587</x:v>
      </x:c>
      <x:c r="R32" s="55" t="str">
        <x:v>Lawrence County, SD</x:v>
      </x:c>
      <x:c r="S32" s="55" t="str">
        <x:v>County</x:v>
      </x:c>
      <x:c r="T32" s="69"/>
      <x:c r="U32" s="53"/>
      <x:c r="V32" s="53"/>
      <x:c r="W32" s="53"/>
      <x:c r="X32" s="53"/>
      <x:c r="Y32" s="53"/>
      <x:c r="Z32" s="53"/>
    </x:row>
    <x:row r="33">
      <x:c r="A33" s="65" t="n">
        <x:v>2022</x:v>
      </x:c>
      <x:c r="B33" s="55" t="str">
        <x:v>46000</x:v>
      </x:c>
      <x:c r="C33" s="55" t="str">
        <x:v>Arts/Entertainment</x:v>
      </x:c>
      <x:c r="D33" s="66" t="n">
        <x:v>739</x:v>
      </x:c>
      <x:c r="E33" s="66" t="n">
        <x:v>7271</x:v>
      </x:c>
      <x:c r="F33" s="66" t="n">
        <x:v>164356589</x:v>
      </x:c>
      <x:c r="G33" s="66" t="n">
        <x:v>36373</x:v>
      </x:c>
      <x:c r="H33" s="66" t="n">
        <x:v>368476</x:v>
      </x:c>
      <x:c r="I33" s="66" t="n">
        <x:v>20173250239</x:v>
      </x:c>
      <x:c r="J33" s="67" t="n">
        <x:v>0.019732628447985758</x:v>
      </x:c>
      <x:c r="K33" s="67" t="n">
        <x:v>0.00814725376688468</x:v>
      </x:c>
      <x:c r="L33" s="67" t="n">
        <x:v>0.02031726830341187</x:v>
      </x:c>
      <x:c r="M33" s="68" t="n">
        <x:v>0.8128418005270823</x:v>
      </x:c>
      <x:c r="N33" s="68" t="n">
        <x:v>7.9975273770398045</x:v>
      </x:c>
      <x:c r="O33" s="68" t="n">
        <x:v>180.7793041018263</x:v>
      </x:c>
      <x:c r="P33" s="68" t="n">
        <x:v>9.838971583220568</x:v>
      </x:c>
      <x:c r="Q33" s="68" t="n">
        <x:v>22604.399532388943</x:v>
      </x:c>
      <x:c r="R33" s="55" t="str">
        <x:v>South Dakota</x:v>
      </x:c>
      <x:c r="S33" s="55" t="str">
        <x:v>State</x:v>
      </x:c>
      <x:c r="T33" s="69" t="n">
        <x:v>909.156</x:v>
      </x:c>
      <x:c r="U33" s="53"/>
      <x:c r="V33" s="53"/>
      <x:c r="W33" s="53"/>
      <x:c r="X33" s="53"/>
      <x:c r="Y33" s="53"/>
      <x:c r="Z33" s="53"/>
    </x:row>
    <x:row r="34">
      <x:c r="A34" s="65" t="n">
        <x:v>2022</x:v>
      </x:c>
      <x:c r="B34" s="55" t="str">
        <x:v>46000</x:v>
      </x:c>
      <x:c r="C34" s="55" t="str">
        <x:v>Accommodation/Food</x:v>
      </x:c>
      <x:c r="D34" s="66" t="n">
        <x:v>2565</x:v>
      </x:c>
      <x:c r="E34" s="66" t="n">
        <x:v>40966</x:v>
      </x:c>
      <x:c r="F34" s="66" t="n">
        <x:v>884986262</x:v>
      </x:c>
      <x:c r="G34" s="66" t="n">
        <x:v>36373</x:v>
      </x:c>
      <x:c r="H34" s="66" t="n">
        <x:v>368476</x:v>
      </x:c>
      <x:c r="I34" s="66" t="n">
        <x:v>20173250239</x:v>
      </x:c>
      <x:c r="J34" s="67" t="n">
        <x:v>0.11117684733876833</x:v>
      </x:c>
      <x:c r="K34" s="67" t="n">
        <x:v>0.04386929480947485</x:v>
      </x:c>
      <x:c r="L34" s="67" t="n">
        <x:v>0.07051934126962307</x:v>
      </x:c>
      <x:c r="M34" s="68" t="n">
        <x:v>2.8212979950635537</x:v>
      </x:c>
      <x:c r="N34" s="68" t="n">
        <x:v>45.05937374883958</x:v>
      </x:c>
      <x:c r="O34" s="68" t="n">
        <x:v>973.4151916722763</x:v>
      </x:c>
      <x:c r="P34" s="68" t="n">
        <x:v>15.971150097465888</x:v>
      </x:c>
      <x:c r="Q34" s="68" t="n">
        <x:v>21602.945418151638</x:v>
      </x:c>
      <x:c r="R34" s="55" t="str">
        <x:v>South Dakota</x:v>
      </x:c>
      <x:c r="S34" s="55" t="str">
        <x:v>State</x:v>
      </x:c>
      <x:c r="T34" s="69" t="n">
        <x:v>909.156</x:v>
      </x:c>
      <x:c r="U34" s="53"/>
      <x:c r="V34" s="53"/>
      <x:c r="W34" s="53"/>
      <x:c r="X34" s="53"/>
      <x:c r="Y34" s="53"/>
      <x:c r="Z34" s="53"/>
    </x:row>
    <x:row r="35">
      <x:c r="A35" s="65" t="n">
        <x:v>2022</x:v>
      </x:c>
      <x:c r="B35" s="55" t="str">
        <x:v>46081</x:v>
      </x:c>
      <x:c r="C35" s="55" t="str">
        <x:v>Accommodation/Food</x:v>
      </x:c>
      <x:c r="D35" s="66" t="n">
        <x:v>152</x:v>
      </x:c>
      <x:c r="E35" s="66" t="n">
        <x:v>3131</x:v>
      </x:c>
      <x:c r="F35" s="66" t="n">
        <x:v>87722680</x:v>
      </x:c>
      <x:c r="G35" s="66" t="n">
        <x:v>1489</x:v>
      </x:c>
      <x:c r="H35" s="66" t="n">
        <x:v>11217</x:v>
      </x:c>
      <x:c r="I35" s="66" t="n">
        <x:v>532985223</x:v>
      </x:c>
      <x:c r="J35" s="67" t="n">
        <x:v>0.27912989212802</x:v>
      </x:c>
      <x:c r="K35" s="67" t="n">
        <x:v>0.16458745236169522</x:v>
      </x:c>
      <x:c r="L35" s="67" t="n">
        <x:v>0.10208193418401612</x:v>
      </x:c>
      <x:c r="M35" s="68"/>
      <x:c r="N35" s="68"/>
      <x:c r="O35" s="68"/>
      <x:c r="P35" s="68" t="n">
        <x:v>20.598684210526315</x:v>
      </x:c>
      <x:c r="Q35" s="68" t="n">
        <x:v>28017.464068987545</x:v>
      </x:c>
      <x:c r="R35" s="55" t="str">
        <x:v>Lawrence County, SD</x:v>
      </x:c>
      <x:c r="S35" s="55" t="str">
        <x:v>County</x:v>
      </x:c>
      <x:c r="T35" s="69"/>
      <x:c r="U35" s="53"/>
      <x:c r="V35" s="53"/>
      <x:c r="W35" s="53"/>
      <x:c r="X35" s="53"/>
      <x:c r="Y35" s="53"/>
      <x:c r="Z35" s="53"/>
    </x:row>
    <x:row r="36">
      <x:c r="A36" s="65" t="n">
        <x:v>2022</x:v>
      </x:c>
      <x:c r="B36" s="55" t="str">
        <x:v>46000</x:v>
      </x:c>
      <x:c r="C36" s="55" t="str">
        <x:v>Tourism Total (71+72)</x:v>
      </x:c>
      <x:c r="D36" s="66" t="n">
        <x:v>3304</x:v>
      </x:c>
      <x:c r="E36" s="66" t="n">
        <x:v>48237</x:v>
      </x:c>
      <x:c r="F36" s="66" t="n">
        <x:v>1049342851</x:v>
      </x:c>
      <x:c r="G36" s="66" t="n">
        <x:v>36373</x:v>
      </x:c>
      <x:c r="H36" s="66" t="n">
        <x:v>368476</x:v>
      </x:c>
      <x:c r="I36" s="66" t="n">
        <x:v>20173250239</x:v>
      </x:c>
      <x:c r="J36" s="67" t="n">
        <x:v>0.1309094757867541</x:v>
      </x:c>
      <x:c r="K36" s="67" t="n">
        <x:v>0.05201654857635953</x:v>
      </x:c>
      <x:c r="L36" s="67" t="n">
        <x:v>0.09083660957303494</x:v>
      </x:c>
      <x:c r="M36" s="68" t="n">
        <x:v>3.634139795590636</x:v>
      </x:c>
      <x:c r="N36" s="68" t="n">
        <x:v>53.05690112587939</x:v>
      </x:c>
      <x:c r="O36" s="68" t="n">
        <x:v>1154.1944957741025</x:v>
      </x:c>
      <x:c r="P36" s="68" t="n">
        <x:v>14.599576271186441</x:v>
      </x:c>
      <x:c r="Q36" s="68" t="n">
        <x:v>21753.899516968304</x:v>
      </x:c>
      <x:c r="R36" s="55" t="str">
        <x:v>South Dakota</x:v>
      </x:c>
      <x:c r="S36" s="55" t="str">
        <x:v>State</x:v>
      </x:c>
      <x:c r="T36" s="69" t="n">
        <x:v>909.156</x:v>
      </x:c>
      <x:c r="U36" s="53"/>
      <x:c r="V36" s="53"/>
      <x:c r="W36" s="53"/>
      <x:c r="X36" s="53"/>
      <x:c r="Y36" s="53"/>
      <x:c r="Z36" s="53"/>
    </x:row>
    <x:row r="37">
      <x:c r="A37" s="65" t="n">
        <x:v>2022</x:v>
      </x:c>
      <x:c r="B37" s="55" t="str">
        <x:v>46081</x:v>
      </x:c>
      <x:c r="C37" s="55" t="str">
        <x:v>Tourism Total (71+72)</x:v>
      </x:c>
      <x:c r="D37" s="66" t="n">
        <x:v>192</x:v>
      </x:c>
      <x:c r="E37" s="66" t="n">
        <x:v>3624</x:v>
      </x:c>
      <x:c r="F37" s="66" t="n">
        <x:v>101969054</x:v>
      </x:c>
      <x:c r="G37" s="66" t="n">
        <x:v>1489</x:v>
      </x:c>
      <x:c r="H37" s="66" t="n">
        <x:v>11217</x:v>
      </x:c>
      <x:c r="I37" s="66" t="n">
        <x:v>532985223</x:v>
      </x:c>
      <x:c r="J37" s="67" t="n">
        <x:v>0.3230810377106178</x:v>
      </x:c>
      <x:c r="K37" s="67" t="n">
        <x:v>0.19131685007334623</x:v>
      </x:c>
      <x:c r="L37" s="67" t="n">
        <x:v>0.12894560107454667</x:v>
      </x:c>
      <x:c r="M37" s="68"/>
      <x:c r="N37" s="68"/>
      <x:c r="O37" s="68"/>
      <x:c r="P37" s="68" t="n">
        <x:v>18.875</x:v>
      </x:c>
      <x:c r="Q37" s="68" t="n">
        <x:v>28137.156181015453</x:v>
      </x:c>
      <x:c r="R37" s="55" t="str">
        <x:v>Lawrence County, SD</x:v>
      </x:c>
      <x:c r="S37" s="55" t="str">
        <x:v>County</x:v>
      </x:c>
      <x:c r="T37" s="69"/>
      <x:c r="U37" s="53"/>
      <x:c r="V37" s="53"/>
      <x:c r="W37" s="53"/>
      <x:c r="X37" s="53"/>
      <x:c r="Y37" s="53"/>
      <x:c r="Z37" s="53"/>
    </x:row>
    <x:row r="38">
      <x:c r="A38" s="65" t="n">
        <x:v>2023</x:v>
      </x:c>
      <x:c r="B38" s="55" t="str">
        <x:v>46033</x:v>
      </x:c>
      <x:c r="C38" s="55" t="str">
        <x:v>Arts/Entertainment</x:v>
      </x:c>
      <x:c r="D38" s="66" t="n">
        <x:v>8</x:v>
      </x:c>
      <x:c r="E38" s="66" t="n">
        <x:v>138</x:v>
      </x:c>
      <x:c r="F38" s="66" t="n">
        <x:v>6378724</x:v>
      </x:c>
      <x:c r="G38" s="66" t="n">
        <x:v>382</x:v>
      </x:c>
      <x:c r="H38" s="66" t="n">
        <x:v>2035</x:v>
      </x:c>
      <x:c r="I38" s="66" t="n">
        <x:v>86431683</x:v>
      </x:c>
      <x:c r="J38" s="67" t="n">
        <x:v>0.06781326781326781</x:v>
      </x:c>
      <x:c r="K38" s="67" t="n">
        <x:v>0.07380076123242908</x:v>
      </x:c>
      <x:c r="L38" s="67" t="n">
        <x:v>0.020942408376963352</x:v>
      </x:c>
      <x:c r="M38" s="68" t="n">
        <x:v>0.8774816277284193</x:v>
      </x:c>
      <x:c r="N38" s="68" t="n">
        <x:v>15.136558078315234</x:v>
      </x:c>
      <x:c r="O38" s="68" t="n">
        <x:v>699.6516397937918</x:v>
      </x:c>
      <x:c r="P38" s="68" t="n">
        <x:v>17.25</x:v>
      </x:c>
      <x:c r="Q38" s="68" t="n">
        <x:v>46222.637681159424</x:v>
      </x:c>
      <x:c r="R38" s="55" t="str">
        <x:v>Custer County, SD</x:v>
      </x:c>
      <x:c r="S38" s="55" t="str">
        <x:v>County</x:v>
      </x:c>
      <x:c r="T38" s="69" t="n">
        <x:v>9.117</x:v>
      </x:c>
      <x:c r="U38" s="53"/>
      <x:c r="V38" s="53"/>
      <x:c r="W38" s="53"/>
      <x:c r="X38" s="53"/>
      <x:c r="Y38" s="53"/>
      <x:c r="Z38" s="53"/>
    </x:row>
    <x:row r="39">
      <x:c r="A39" s="65" t="n">
        <x:v>2023</x:v>
      </x:c>
      <x:c r="B39" s="55" t="str">
        <x:v>46033</x:v>
      </x:c>
      <x:c r="C39" s="55" t="str">
        <x:v>Accommodation/Food</x:v>
      </x:c>
      <x:c r="D39" s="66" t="n">
        <x:v>54</x:v>
      </x:c>
      <x:c r="E39" s="66" t="n">
        <x:v>589</x:v>
      </x:c>
      <x:c r="F39" s="66" t="n">
        <x:v>15113127</x:v>
      </x:c>
      <x:c r="G39" s="66" t="n">
        <x:v>382</x:v>
      </x:c>
      <x:c r="H39" s="66" t="n">
        <x:v>2035</x:v>
      </x:c>
      <x:c r="I39" s="66" t="n">
        <x:v>86431683</x:v>
      </x:c>
      <x:c r="J39" s="67" t="n">
        <x:v>0.28943488943488943</x:v>
      </x:c>
      <x:c r="K39" s="67" t="n">
        <x:v>0.1748563313293344</x:v>
      </x:c>
      <x:c r="L39" s="67" t="n">
        <x:v>0.14136125654450263</x:v>
      </x:c>
      <x:c r="M39" s="68" t="n">
        <x:v>5.923000987166831</x:v>
      </x:c>
      <x:c r="N39" s="68" t="n">
        <x:v>64.60458484150487</x:v>
      </x:c>
      <x:c r="O39" s="68" t="n">
        <x:v>1657.6864100032906</x:v>
      </x:c>
      <x:c r="P39" s="68" t="n">
        <x:v>10.907407407407407</x:v>
      </x:c>
      <x:c r="Q39" s="68" t="n">
        <x:v>25658.959252971137</x:v>
      </x:c>
      <x:c r="R39" s="55" t="str">
        <x:v>Custer County, SD</x:v>
      </x:c>
      <x:c r="S39" s="55" t="str">
        <x:v>County</x:v>
      </x:c>
      <x:c r="T39" s="69" t="n">
        <x:v>9.117</x:v>
      </x:c>
      <x:c r="U39" s="53"/>
      <x:c r="V39" s="53"/>
      <x:c r="W39" s="53"/>
      <x:c r="X39" s="53"/>
      <x:c r="Y39" s="53"/>
      <x:c r="Z39" s="53"/>
    </x:row>
    <x:row r="40">
      <x:c r="A40" s="65" t="n">
        <x:v>2023</x:v>
      </x:c>
      <x:c r="B40" s="55" t="str">
        <x:v>46033</x:v>
      </x:c>
      <x:c r="C40" s="55" t="str">
        <x:v>Tourism Total (71+72)</x:v>
      </x:c>
      <x:c r="D40" s="66" t="n">
        <x:v>62</x:v>
      </x:c>
      <x:c r="E40" s="66" t="n">
        <x:v>727</x:v>
      </x:c>
      <x:c r="F40" s="66" t="n">
        <x:v>21491851</x:v>
      </x:c>
      <x:c r="G40" s="66" t="n">
        <x:v>382</x:v>
      </x:c>
      <x:c r="H40" s="66" t="n">
        <x:v>2035</x:v>
      </x:c>
      <x:c r="I40" s="66" t="n">
        <x:v>86431683</x:v>
      </x:c>
      <x:c r="J40" s="67" t="n">
        <x:v>0.3572481572481572</x:v>
      </x:c>
      <x:c r="K40" s="67" t="n">
        <x:v>0.2486570925617635</x:v>
      </x:c>
      <x:c r="L40" s="67" t="n">
        <x:v>0.16230366492146597</x:v>
      </x:c>
      <x:c r="M40" s="68" t="n">
        <x:v>6.80048261489525</x:v>
      </x:c>
      <x:c r="N40" s="68" t="n">
        <x:v>79.7411429198201</x:v>
      </x:c>
      <x:c r="O40" s="68" t="n">
        <x:v>2357.3380497970825</x:v>
      </x:c>
      <x:c r="P40" s="68" t="n">
        <x:v>11.725806451612904</x:v>
      </x:c>
      <x:c r="Q40" s="68" t="n">
        <x:v>29562.381017881704</x:v>
      </x:c>
      <x:c r="R40" s="55" t="str">
        <x:v>Custer County, SD</x:v>
      </x:c>
      <x:c r="S40" s="55" t="str">
        <x:v>County</x:v>
      </x:c>
      <x:c r="T40" s="69" t="n">
        <x:v>9.117</x:v>
      </x:c>
      <x:c r="U40" s="53"/>
      <x:c r="V40" s="53"/>
      <x:c r="W40" s="53"/>
      <x:c r="X40" s="53"/>
      <x:c r="Y40" s="53"/>
      <x:c r="Z40" s="53"/>
    </x:row>
    <x:row r="41">
      <x:c r="A41" s="65" t="n">
        <x:v>2023</x:v>
      </x:c>
      <x:c r="B41" s="55" t="str">
        <x:v>46081</x:v>
      </x:c>
      <x:c r="C41" s="55" t="str">
        <x:v>Arts/Entertainment</x:v>
      </x:c>
      <x:c r="D41" s="66" t="n">
        <x:v>42</x:v>
      </x:c>
      <x:c r="E41" s="66" t="n">
        <x:v>547</x:v>
      </x:c>
      <x:c r="F41" s="66" t="n">
        <x:v>17979486</x:v>
      </x:c>
      <x:c r="G41" s="66" t="n">
        <x:v>1534</x:v>
      </x:c>
      <x:c r="H41" s="66" t="n">
        <x:v>11745</x:v>
      </x:c>
      <x:c r="I41" s="66" t="n">
        <x:v>576716643</x:v>
      </x:c>
      <x:c r="J41" s="67" t="n">
        <x:v>0.046573009791400596</x:v>
      </x:c>
      <x:c r="K41" s="67" t="n">
        <x:v>0.031175597614927858</x:v>
      </x:c>
      <x:c r="L41" s="67" t="n">
        <x:v>0.027379400260756193</x:v>
      </x:c>
      <x:c r="M41" s="68"/>
      <x:c r="N41" s="68"/>
      <x:c r="O41" s="68"/>
      <x:c r="P41" s="68" t="n">
        <x:v>13.023809523809524</x:v>
      </x:c>
      <x:c r="Q41" s="68" t="n">
        <x:v>32869.26142595978</x:v>
      </x:c>
      <x:c r="R41" s="55" t="str">
        <x:v>Lawrence County, SD</x:v>
      </x:c>
      <x:c r="S41" s="55" t="str">
        <x:v>County</x:v>
      </x:c>
      <x:c r="T41" s="69"/>
      <x:c r="U41" s="53"/>
      <x:c r="V41" s="53"/>
      <x:c r="W41" s="53"/>
      <x:c r="X41" s="53"/>
      <x:c r="Y41" s="53"/>
      <x:c r="Z41" s="53"/>
    </x:row>
    <x:row r="42">
      <x:c r="A42" s="65" t="n">
        <x:v>2023</x:v>
      </x:c>
      <x:c r="B42" s="55" t="str">
        <x:v>46000</x:v>
      </x:c>
      <x:c r="C42" s="55" t="str">
        <x:v>Arts/Entertainment</x:v>
      </x:c>
      <x:c r="D42" s="66" t="n">
        <x:v>738</x:v>
      </x:c>
      <x:c r="E42" s="66" t="n">
        <x:v>7490</x:v>
      </x:c>
      <x:c r="F42" s="66" t="n">
        <x:v>177897718</x:v>
      </x:c>
      <x:c r="G42" s="66" t="n">
        <x:v>37321</x:v>
      </x:c>
      <x:c r="H42" s="66" t="n">
        <x:v>376993</x:v>
      </x:c>
      <x:c r="I42" s="66" t="n">
        <x:v>21321721621</x:v>
      </x:c>
      <x:c r="J42" s="67" t="n">
        <x:v>0.01986774290238811</x:v>
      </x:c>
      <x:c r="K42" s="67" t="n">
        <x:v>0.008343496888393222</x:v>
      </x:c>
      <x:c r="L42" s="67" t="n">
        <x:v>0.019774389753757938</x:v>
      </x:c>
      <x:c r="M42" s="68" t="n">
        <x:v>0.8041501995665434</x:v>
      </x:c>
      <x:c r="N42" s="68" t="n">
        <x:v>8.161361781508687</x:v>
      </x:c>
      <x:c r="O42" s="68" t="n">
        <x:v>193.84347619530172</x:v>
      </x:c>
      <x:c r="P42" s="68" t="n">
        <x:v>10.149051490514905</x:v>
      </x:c>
      <x:c r="Q42" s="68" t="n">
        <x:v>23751.36421895861</x:v>
      </x:c>
      <x:c r="R42" s="55" t="str">
        <x:v>South Dakota</x:v>
      </x:c>
      <x:c r="S42" s="55" t="str">
        <x:v>State</x:v>
      </x:c>
      <x:c r="T42" s="69" t="n">
        <x:v>917.739</x:v>
      </x:c>
      <x:c r="U42" s="53"/>
      <x:c r="V42" s="53"/>
      <x:c r="W42" s="53"/>
      <x:c r="X42" s="53"/>
      <x:c r="Y42" s="53"/>
      <x:c r="Z42" s="53"/>
    </x:row>
    <x:row r="43">
      <x:c r="A43" s="65" t="n">
        <x:v>2023</x:v>
      </x:c>
      <x:c r="B43" s="55" t="str">
        <x:v>46081</x:v>
      </x:c>
      <x:c r="C43" s="55" t="str">
        <x:v>Accommodation/Food</x:v>
      </x:c>
      <x:c r="D43" s="66" t="n">
        <x:v>155</x:v>
      </x:c>
      <x:c r="E43" s="66" t="n">
        <x:v>3263</x:v>
      </x:c>
      <x:c r="F43" s="66" t="n">
        <x:v>92718531</x:v>
      </x:c>
      <x:c r="G43" s="66" t="n">
        <x:v>1534</x:v>
      </x:c>
      <x:c r="H43" s="66" t="n">
        <x:v>11745</x:v>
      </x:c>
      <x:c r="I43" s="66" t="n">
        <x:v>576716643</x:v>
      </x:c>
      <x:c r="J43" s="67" t="n">
        <x:v>0.2778203490847169</x:v>
      </x:c>
      <x:c r="K43" s="67" t="n">
        <x:v>0.16076964680209516</x:v>
      </x:c>
      <x:c r="L43" s="67" t="n">
        <x:v>0.10104302477183832</x:v>
      </x:c>
      <x:c r="M43" s="68"/>
      <x:c r="N43" s="68"/>
      <x:c r="O43" s="68"/>
      <x:c r="P43" s="68" t="n">
        <x:v>21.051612903225806</x:v>
      </x:c>
      <x:c r="Q43" s="68" t="n">
        <x:v>28415.11829604658</x:v>
      </x:c>
      <x:c r="R43" s="55" t="str">
        <x:v>Lawrence County, SD</x:v>
      </x:c>
      <x:c r="S43" s="55" t="str">
        <x:v>County</x:v>
      </x:c>
      <x:c r="T43" s="69"/>
      <x:c r="U43" s="53"/>
      <x:c r="V43" s="53"/>
      <x:c r="W43" s="53"/>
      <x:c r="X43" s="53"/>
      <x:c r="Y43" s="53"/>
      <x:c r="Z43" s="53"/>
    </x:row>
    <x:row r="44">
      <x:c r="A44" s="65" t="n">
        <x:v>2023</x:v>
      </x:c>
      <x:c r="B44" s="55" t="str">
        <x:v>46000</x:v>
      </x:c>
      <x:c r="C44" s="55" t="str">
        <x:v>Accommodation/Food</x:v>
      </x:c>
      <x:c r="D44" s="66" t="n">
        <x:v>2603</x:v>
      </x:c>
      <x:c r="E44" s="66" t="n">
        <x:v>41877</x:v>
      </x:c>
      <x:c r="F44" s="66" t="n">
        <x:v>947816366</x:v>
      </x:c>
      <x:c r="G44" s="66" t="n">
        <x:v>37321</x:v>
      </x:c>
      <x:c r="H44" s="66" t="n">
        <x:v>376993</x:v>
      </x:c>
      <x:c r="I44" s="66" t="n">
        <x:v>21321721621</x:v>
      </x:c>
      <x:c r="J44" s="67" t="n">
        <x:v>0.1110816381206017</x:v>
      </x:c>
      <x:c r="K44" s="67" t="n">
        <x:v>0.04445308792825084</x:v>
      </x:c>
      <x:c r="L44" s="67" t="n">
        <x:v>0.06974625545939284</x:v>
      </x:c>
      <x:c r="M44" s="68" t="n">
        <x:v>2.8363183868180384</x:v>
      </x:c>
      <x:c r="N44" s="68" t="n">
        <x:v>45.63062047052593</x:v>
      </x:c>
      <x:c r="O44" s="68" t="n">
        <x:v>1032.7733331589918</x:v>
      </x:c>
      <x:c r="P44" s="68" t="n">
        <x:v>16.087975412985017</x:v>
      </x:c>
      <x:c r="Q44" s="68" t="n">
        <x:v>22633.339685268762</x:v>
      </x:c>
      <x:c r="R44" s="55" t="str">
        <x:v>South Dakota</x:v>
      </x:c>
      <x:c r="S44" s="55" t="str">
        <x:v>State</x:v>
      </x:c>
      <x:c r="T44" s="69" t="n">
        <x:v>917.739</x:v>
      </x:c>
      <x:c r="U44" s="53"/>
      <x:c r="V44" s="53"/>
      <x:c r="W44" s="53"/>
      <x:c r="X44" s="53"/>
      <x:c r="Y44" s="53"/>
      <x:c r="Z44" s="53"/>
    </x:row>
    <x:row r="45">
      <x:c r="A45" s="65" t="n">
        <x:v>2023</x:v>
      </x:c>
      <x:c r="B45" s="55" t="str">
        <x:v>46000</x:v>
      </x:c>
      <x:c r="C45" s="55" t="str">
        <x:v>Tourism Total (71+72)</x:v>
      </x:c>
      <x:c r="D45" s="66" t="n">
        <x:v>3341</x:v>
      </x:c>
      <x:c r="E45" s="66" t="n">
        <x:v>49367</x:v>
      </x:c>
      <x:c r="F45" s="66" t="n">
        <x:v>1125714084</x:v>
      </x:c>
      <x:c r="G45" s="66" t="n">
        <x:v>37321</x:v>
      </x:c>
      <x:c r="H45" s="66" t="n">
        <x:v>376993</x:v>
      </x:c>
      <x:c r="I45" s="66" t="n">
        <x:v>21321721621</x:v>
      </x:c>
      <x:c r="J45" s="67" t="n">
        <x:v>0.1309493810229898</x:v>
      </x:c>
      <x:c r="K45" s="67" t="n">
        <x:v>0.05279658481664406</x:v>
      </x:c>
      <x:c r="L45" s="67" t="n">
        <x:v>0.08952064521315077</x:v>
      </x:c>
      <x:c r="M45" s="68" t="n">
        <x:v>3.640468586384582</x:v>
      </x:c>
      <x:c r="N45" s="68" t="n">
        <x:v>53.791982252034614</x:v>
      </x:c>
      <x:c r="O45" s="68" t="n">
        <x:v>1226.6168093542935</x:v>
      </x:c>
      <x:c r="P45" s="68" t="n">
        <x:v>14.77611493564801</x:v>
      </x:c>
      <x:c r="Q45" s="68" t="n">
        <x:v>22802.967245325824</x:v>
      </x:c>
      <x:c r="R45" s="55" t="str">
        <x:v>South Dakota</x:v>
      </x:c>
      <x:c r="S45" s="55" t="str">
        <x:v>State</x:v>
      </x:c>
      <x:c r="T45" s="69" t="n">
        <x:v>917.739</x:v>
      </x:c>
      <x:c r="U45" s="53"/>
      <x:c r="V45" s="53"/>
      <x:c r="W45" s="53"/>
      <x:c r="X45" s="53"/>
      <x:c r="Y45" s="53"/>
      <x:c r="Z45" s="53"/>
    </x:row>
    <x:row r="46">
      <x:c r="A46" s="65" t="n">
        <x:v>2023</x:v>
      </x:c>
      <x:c r="B46" s="55" t="str">
        <x:v>46081</x:v>
      </x:c>
      <x:c r="C46" s="55" t="str">
        <x:v>Tourism Total (71+72)</x:v>
      </x:c>
      <x:c r="D46" s="66" t="n">
        <x:v>197</x:v>
      </x:c>
      <x:c r="E46" s="66" t="n">
        <x:v>3810</x:v>
      </x:c>
      <x:c r="F46" s="66" t="n">
        <x:v>110698017</x:v>
      </x:c>
      <x:c r="G46" s="66" t="n">
        <x:v>1534</x:v>
      </x:c>
      <x:c r="H46" s="66" t="n">
        <x:v>11745</x:v>
      </x:c>
      <x:c r="I46" s="66" t="n">
        <x:v>576716643</x:v>
      </x:c>
      <x:c r="J46" s="67" t="n">
        <x:v>0.3243933588761175</x:v>
      </x:c>
      <x:c r="K46" s="67" t="n">
        <x:v>0.19194524441702301</x:v>
      </x:c>
      <x:c r="L46" s="67" t="n">
        <x:v>0.12842242503259452</x:v>
      </x:c>
      <x:c r="M46" s="68"/>
      <x:c r="N46" s="68"/>
      <x:c r="O46" s="68"/>
      <x:c r="P46" s="68" t="n">
        <x:v>19.34010152284264</x:v>
      </x:c>
      <x:c r="Q46" s="68" t="n">
        <x:v>29054.597637795276</x:v>
      </x:c>
      <x:c r="R46" s="55" t="str">
        <x:v>Lawrence County, SD</x:v>
      </x:c>
      <x:c r="S46" s="55" t="str">
        <x:v>County</x:v>
      </x:c>
      <x:c r="T46" s="69"/>
      <x:c r="U46" s="53"/>
      <x:c r="V46" s="53"/>
      <x:c r="W46" s="53"/>
      <x:c r="X46" s="53"/>
      <x:c r="Y46" s="53"/>
      <x:c r="Z46" s="53"/>
    </x:row>
    <x:row r="47">
      <x:c r="A47" s="65" t="n">
        <x:v>2024</x:v>
      </x:c>
      <x:c r="B47" s="55" t="str">
        <x:v>46033</x:v>
      </x:c>
      <x:c r="C47" s="55" t="str">
        <x:v>Arts/Entertainment</x:v>
      </x:c>
      <x:c r="D47" s="66"/>
      <x:c r="E47" s="66"/>
      <x:c r="F47" s="66"/>
      <x:c r="G47" s="66" t="n">
        <x:v>386</x:v>
      </x:c>
      <x:c r="H47" s="66" t="n">
        <x:v>2077</x:v>
      </x:c>
      <x:c r="I47" s="66" t="n">
        <x:v>93302464</x:v>
      </x:c>
      <x:c r="J47" s="67"/>
      <x:c r="K47" s="67"/>
      <x:c r="L47" s="67"/>
      <x:c r="M47" s="68"/>
      <x:c r="N47" s="68"/>
      <x:c r="O47" s="68"/>
      <x:c r="P47" s="68"/>
      <x:c r="Q47" s="68"/>
      <x:c r="R47" s="55" t="str">
        <x:v>Custer County, SD</x:v>
      </x:c>
      <x:c r="S47" s="55" t="str">
        <x:v>County</x:v>
      </x:c>
      <x:c r="T47" s="69" t="n">
        <x:v>9.33</x:v>
      </x:c>
      <x:c r="U47" s="53"/>
      <x:c r="V47" s="53"/>
      <x:c r="W47" s="53"/>
      <x:c r="X47" s="53"/>
      <x:c r="Y47" s="53"/>
      <x:c r="Z47" s="53"/>
    </x:row>
    <x:row r="48">
      <x:c r="A48" s="65" t="n">
        <x:v>2024</x:v>
      </x:c>
      <x:c r="B48" s="55" t="str">
        <x:v>46033</x:v>
      </x:c>
      <x:c r="C48" s="55" t="str">
        <x:v>Accommodation/Food</x:v>
      </x:c>
      <x:c r="D48" s="66"/>
      <x:c r="E48" s="66"/>
      <x:c r="F48" s="66"/>
      <x:c r="G48" s="66" t="n">
        <x:v>386</x:v>
      </x:c>
      <x:c r="H48" s="66" t="n">
        <x:v>2077</x:v>
      </x:c>
      <x:c r="I48" s="66" t="n">
        <x:v>93302464</x:v>
      </x:c>
      <x:c r="J48" s="67"/>
      <x:c r="K48" s="67"/>
      <x:c r="L48" s="67"/>
      <x:c r="M48" s="68"/>
      <x:c r="N48" s="68"/>
      <x:c r="O48" s="68"/>
      <x:c r="P48" s="68"/>
      <x:c r="Q48" s="68"/>
      <x:c r="R48" s="55" t="str">
        <x:v>Custer County, SD</x:v>
      </x:c>
      <x:c r="S48" s="55" t="str">
        <x:v>County</x:v>
      </x:c>
      <x:c r="T48" s="69" t="n">
        <x:v>9.33</x:v>
      </x:c>
      <x:c r="U48" s="53"/>
      <x:c r="V48" s="53"/>
      <x:c r="W48" s="53"/>
      <x:c r="X48" s="53"/>
      <x:c r="Y48" s="53"/>
      <x:c r="Z48" s="53"/>
    </x:row>
    <x:row r="49">
      <x:c r="A49" s="65" t="n">
        <x:v>2024</x:v>
      </x:c>
      <x:c r="B49" s="55" t="str">
        <x:v>46033</x:v>
      </x:c>
      <x:c r="C49" s="55" t="str">
        <x:v>Tourism Total (71+72)</x:v>
      </x:c>
      <x:c r="D49" s="66"/>
      <x:c r="E49" s="66"/>
      <x:c r="F49" s="66"/>
      <x:c r="G49" s="66" t="n">
        <x:v>386</x:v>
      </x:c>
      <x:c r="H49" s="66" t="n">
        <x:v>2077</x:v>
      </x:c>
      <x:c r="I49" s="66" t="n">
        <x:v>93302464</x:v>
      </x:c>
      <x:c r="J49" s="67"/>
      <x:c r="K49" s="67"/>
      <x:c r="L49" s="67"/>
      <x:c r="M49" s="68"/>
      <x:c r="N49" s="68"/>
      <x:c r="O49" s="68"/>
      <x:c r="P49" s="68"/>
      <x:c r="Q49" s="68"/>
      <x:c r="R49" s="55" t="str">
        <x:v>Custer County, SD</x:v>
      </x:c>
      <x:c r="S49" s="55" t="str">
        <x:v>County</x:v>
      </x:c>
      <x:c r="T49" s="69" t="n">
        <x:v>9.33</x:v>
      </x:c>
      <x:c r="U49" s="53"/>
      <x:c r="V49" s="53"/>
      <x:c r="W49" s="53"/>
      <x:c r="X49" s="53"/>
      <x:c r="Y49" s="53"/>
      <x:c r="Z49" s="53"/>
    </x:row>
    <x:row r="50">
      <x:c r="A50" s="65" t="n">
        <x:v>2024</x:v>
      </x:c>
      <x:c r="B50" s="55" t="str">
        <x:v>46081</x:v>
      </x:c>
      <x:c r="C50" s="55" t="str">
        <x:v>Arts/Entertainment</x:v>
      </x:c>
      <x:c r="D50" s="66" t="n">
        <x:v>41</x:v>
      </x:c>
      <x:c r="E50" s="66" t="n">
        <x:v>587</x:v>
      </x:c>
      <x:c r="F50" s="66" t="n">
        <x:v>20346140</x:v>
      </x:c>
      <x:c r="G50" s="66" t="n">
        <x:v>1580</x:v>
      </x:c>
      <x:c r="H50" s="66" t="n">
        <x:v>11894</x:v>
      </x:c>
      <x:c r="I50" s="66" t="n">
        <x:v>588600010</x:v>
      </x:c>
      <x:c r="J50" s="67" t="n">
        <x:v>0.04935261476374643</x:v>
      </x:c>
      <x:c r="K50" s="67" t="n">
        <x:v>0.03456700586872229</x:v>
      </x:c>
      <x:c r="L50" s="67" t="n">
        <x:v>0.025949367088607594</x:v>
      </x:c>
      <x:c r="M50" s="68"/>
      <x:c r="N50" s="68"/>
      <x:c r="O50" s="68"/>
      <x:c r="P50" s="68" t="n">
        <x:v>14.317073170731707</x:v>
      </x:c>
      <x:c r="Q50" s="68" t="n">
        <x:v>34661.226575809196</x:v>
      </x:c>
      <x:c r="R50" s="55" t="str">
        <x:v>Lawrence County, SD</x:v>
      </x:c>
      <x:c r="S50" s="55" t="str">
        <x:v>County</x:v>
      </x:c>
      <x:c r="T50" s="69"/>
      <x:c r="U50" s="53"/>
      <x:c r="V50" s="53"/>
      <x:c r="W50" s="53"/>
      <x:c r="X50" s="53"/>
      <x:c r="Y50" s="53"/>
      <x:c r="Z50" s="53"/>
    </x:row>
    <x:row r="51">
      <x:c r="A51" s="65" t="n">
        <x:v>2024</x:v>
      </x:c>
      <x:c r="B51" s="55" t="str">
        <x:v>46000</x:v>
      </x:c>
      <x:c r="C51" s="55" t="str">
        <x:v>Arts/Entertainment</x:v>
      </x:c>
      <x:c r="D51" s="66" t="n">
        <x:v>747</x:v>
      </x:c>
      <x:c r="E51" s="66" t="n">
        <x:v>7840</x:v>
      </x:c>
      <x:c r="F51" s="66" t="n">
        <x:v>194489708</x:v>
      </x:c>
      <x:c r="G51" s="66" t="n">
        <x:v>37934</x:v>
      </x:c>
      <x:c r="H51" s="66" t="n">
        <x:v>381950</x:v>
      </x:c>
      <x:c r="I51" s="66" t="n">
        <x:v>22410328807</x:v>
      </x:c>
      <x:c r="J51" s="67" t="n">
        <x:v>0.020526246890954312</x:v>
      </x:c>
      <x:c r="K51" s="67" t="n">
        <x:v>0.008678574494598669</x:v>
      </x:c>
      <x:c r="L51" s="67" t="n">
        <x:v>0.01969209679970475</x:v>
      </x:c>
      <x:c r="M51" s="68" t="n">
        <x:v>0.8057296329453895</x:v>
      </x:c>
      <x:c r="N51" s="68" t="n">
        <x:v>8.456385973616939</x:v>
      </x:c>
      <x:c r="O51" s="68" t="n">
        <x:v>209.7806171867416</x:v>
      </x:c>
      <x:c r="P51" s="68" t="n">
        <x:v>10.495314591700135</x:v>
      </x:c>
      <x:c r="Q51" s="68" t="n">
        <x:v>24807.360714285714</x:v>
      </x:c>
      <x:c r="R51" s="55" t="str">
        <x:v>South Dakota</x:v>
      </x:c>
      <x:c r="S51" s="55" t="str">
        <x:v>State</x:v>
      </x:c>
      <x:c r="T51" s="69" t="n">
        <x:v>927.11</x:v>
      </x:c>
      <x:c r="U51" s="53"/>
      <x:c r="V51" s="53"/>
      <x:c r="W51" s="53"/>
      <x:c r="X51" s="53"/>
      <x:c r="Y51" s="53"/>
      <x:c r="Z51" s="53"/>
    </x:row>
    <x:row r="52">
      <x:c r="A52" s="65" t="n">
        <x:v>2024</x:v>
      </x:c>
      <x:c r="B52" s="55" t="str">
        <x:v>46000</x:v>
      </x:c>
      <x:c r="C52" s="55" t="str">
        <x:v>Accommodation/Food</x:v>
      </x:c>
      <x:c r="D52" s="66" t="n">
        <x:v>2612</x:v>
      </x:c>
      <x:c r="E52" s="66" t="n">
        <x:v>42495</x:v>
      </x:c>
      <x:c r="F52" s="66" t="n">
        <x:v>994940170</x:v>
      </x:c>
      <x:c r="G52" s="66" t="n">
        <x:v>37934</x:v>
      </x:c>
      <x:c r="H52" s="66" t="n">
        <x:v>381950</x:v>
      </x:c>
      <x:c r="I52" s="66" t="n">
        <x:v>22410328807</x:v>
      </x:c>
      <x:c r="J52" s="67" t="n">
        <x:v>0.11125801806519178</x:v>
      </x:c>
      <x:c r="K52" s="67" t="n">
        <x:v>0.04439650031771174</x:v>
      </x:c>
      <x:c r="L52" s="67" t="n">
        <x:v>0.06885643486054727</x:v>
      </x:c>
      <x:c r="M52" s="68" t="n">
        <x:v>2.817357163659113</x:v>
      </x:c>
      <x:c r="N52" s="68" t="n">
        <x:v>45.83598494245559</x:v>
      </x:c>
      <x:c r="O52" s="68" t="n">
        <x:v>1073.1630227265373</x:v>
      </x:c>
      <x:c r="P52" s="68" t="n">
        <x:v>16.269142419601838</x:v>
      </x:c>
      <x:c r="Q52" s="68" t="n">
        <x:v>23413.111424873514</x:v>
      </x:c>
      <x:c r="R52" s="55" t="str">
        <x:v>South Dakota</x:v>
      </x:c>
      <x:c r="S52" s="55" t="str">
        <x:v>State</x:v>
      </x:c>
      <x:c r="T52" s="69" t="n">
        <x:v>927.11</x:v>
      </x:c>
      <x:c r="U52" s="53"/>
      <x:c r="V52" s="53"/>
      <x:c r="W52" s="53"/>
      <x:c r="X52" s="53"/>
      <x:c r="Y52" s="53"/>
      <x:c r="Z52" s="53"/>
    </x:row>
    <x:row r="53">
      <x:c r="A53" s="65" t="n">
        <x:v>2024</x:v>
      </x:c>
      <x:c r="B53" s="55" t="str">
        <x:v>46081</x:v>
      </x:c>
      <x:c r="C53" s="55" t="str">
        <x:v>Accommodation/Food</x:v>
      </x:c>
      <x:c r="D53" s="66" t="n">
        <x:v>155</x:v>
      </x:c>
      <x:c r="E53" s="66" t="n">
        <x:v>3304</x:v>
      </x:c>
      <x:c r="F53" s="66" t="n">
        <x:v>97219135</x:v>
      </x:c>
      <x:c r="G53" s="66" t="n">
        <x:v>1580</x:v>
      </x:c>
      <x:c r="H53" s="66" t="n">
        <x:v>11894</x:v>
      </x:c>
      <x:c r="I53" s="66" t="n">
        <x:v>588600010</x:v>
      </x:c>
      <x:c r="J53" s="67" t="n">
        <x:v>0.2777871195560787</x:v>
      </x:c>
      <x:c r="K53" s="67" t="n">
        <x:v>0.16517012121695343</x:v>
      </x:c>
      <x:c r="L53" s="67" t="n">
        <x:v>0.0981012658227848</x:v>
      </x:c>
      <x:c r="M53" s="68"/>
      <x:c r="N53" s="68"/>
      <x:c r="O53" s="68"/>
      <x:c r="P53" s="68" t="n">
        <x:v>21.316129032258065</x:v>
      </x:c>
      <x:c r="Q53" s="68" t="n">
        <x:v>29424.677663438255</x:v>
      </x:c>
      <x:c r="R53" s="55" t="str">
        <x:v>Lawrence County, SD</x:v>
      </x:c>
      <x:c r="S53" s="55" t="str">
        <x:v>County</x:v>
      </x:c>
      <x:c r="T53" s="69"/>
      <x:c r="U53" s="53"/>
      <x:c r="V53" s="53"/>
      <x:c r="W53" s="53"/>
      <x:c r="X53" s="53"/>
      <x:c r="Y53" s="53"/>
      <x:c r="Z53" s="53"/>
    </x:row>
    <x:row r="54">
      <x:c r="A54" s="65" t="n">
        <x:v>2024</x:v>
      </x:c>
      <x:c r="B54" s="55" t="str">
        <x:v>46000</x:v>
      </x:c>
      <x:c r="C54" s="55" t="str">
        <x:v>Tourism Total (71+72)</x:v>
      </x:c>
      <x:c r="D54" s="66" t="n">
        <x:v>3359</x:v>
      </x:c>
      <x:c r="E54" s="66" t="n">
        <x:v>50335</x:v>
      </x:c>
      <x:c r="F54" s="66" t="n">
        <x:v>1189429878</x:v>
      </x:c>
      <x:c r="G54" s="66" t="n">
        <x:v>37934</x:v>
      </x:c>
      <x:c r="H54" s="66" t="n">
        <x:v>381950</x:v>
      </x:c>
      <x:c r="I54" s="66" t="n">
        <x:v>22410328807</x:v>
      </x:c>
      <x:c r="J54" s="67" t="n">
        <x:v>0.1317842649561461</x:v>
      </x:c>
      <x:c r="K54" s="67" t="n">
        <x:v>0.053075074812310406</x:v>
      </x:c>
      <x:c r="L54" s="67" t="n">
        <x:v>0.08854853166025202</x:v>
      </x:c>
      <x:c r="M54" s="68" t="n">
        <x:v>3.623086796604502</x:v>
      </x:c>
      <x:c r="N54" s="68" t="n">
        <x:v>54.29237091607253</x:v>
      </x:c>
      <x:c r="O54" s="68" t="n">
        <x:v>1282.943639913279</x:v>
      </x:c>
      <x:c r="P54" s="68" t="n">
        <x:v>14.985114617445669</x:v>
      </x:c>
      <x:c r="Q54" s="68" t="n">
        <x:v>23630.27471938015</x:v>
      </x:c>
      <x:c r="R54" s="55" t="str">
        <x:v>South Dakota</x:v>
      </x:c>
      <x:c r="S54" s="55" t="str">
        <x:v>State</x:v>
      </x:c>
      <x:c r="T54" s="69" t="n">
        <x:v>927.11</x:v>
      </x:c>
      <x:c r="U54" s="53"/>
      <x:c r="V54" s="53"/>
      <x:c r="W54" s="53"/>
      <x:c r="X54" s="53"/>
      <x:c r="Y54" s="53"/>
      <x:c r="Z54" s="53"/>
    </x:row>
    <x:row r="55">
      <x:c r="A55" s="65" t="n">
        <x:v>2024</x:v>
      </x:c>
      <x:c r="B55" s="55" t="str">
        <x:v>46081</x:v>
      </x:c>
      <x:c r="C55" s="55" t="str">
        <x:v>Tourism Total (71+72)</x:v>
      </x:c>
      <x:c r="D55" s="66" t="n">
        <x:v>196</x:v>
      </x:c>
      <x:c r="E55" s="66" t="n">
        <x:v>3891</x:v>
      </x:c>
      <x:c r="F55" s="66" t="n">
        <x:v>117565275</x:v>
      </x:c>
      <x:c r="G55" s="66" t="n">
        <x:v>1580</x:v>
      </x:c>
      <x:c r="H55" s="66" t="n">
        <x:v>11894</x:v>
      </x:c>
      <x:c r="I55" s="66" t="n">
        <x:v>588600010</x:v>
      </x:c>
      <x:c r="J55" s="67" t="n">
        <x:v>0.3271397343198251</x:v>
      </x:c>
      <x:c r="K55" s="67" t="n">
        <x:v>0.19973712708567573</x:v>
      </x:c>
      <x:c r="L55" s="67" t="n">
        <x:v>0.1240506329113924</x:v>
      </x:c>
      <x:c r="M55" s="68"/>
      <x:c r="N55" s="68"/>
      <x:c r="O55" s="68"/>
      <x:c r="P55" s="68" t="n">
        <x:v>19.852040816326532</x:v>
      </x:c>
      <x:c r="Q55" s="68" t="n">
        <x:v>30214.668465690054</x:v>
      </x:c>
      <x:c r="R55" s="55" t="str">
        <x:v>Lawrence County, SD</x:v>
      </x:c>
      <x:c r="S55" s="55" t="str">
        <x:v>County</x:v>
      </x:c>
      <x:c r="T55" s="69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</x:sheetData>
  <x:pageMargins left="0.7" right="0.7" top="0.75" bottom="0.75" header="0.3" footer="0.3"/>
  <x:tableParts count="1">
    <x:tablePart xmlns:r="http://schemas.openxmlformats.org/officeDocument/2006/relationships" r:id="R11c60052fcda4a0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64" t="str">
        <x:v>Year</x:v>
      </x:c>
      <x:c r="B1" s="64" t="str">
        <x:v>GDP (All)</x:v>
      </x:c>
      <x:c r="C1" s="64" t="str">
        <x:v>Real GDP (All)</x:v>
      </x:c>
      <x:c r="D1" s="64" t="str">
        <x:v>Per Capita Personal Income</x:v>
      </x:c>
      <x:c r="E1" s="64" t="str">
        <x:v>Real GDP (Goods)</x:v>
      </x:c>
      <x:c r="F1" s="64" t="str">
        <x:v>Real GDP (Services)</x:v>
      </x:c>
      <x:c r="G1" s="64" t="str">
        <x:v>Real GDP (Govt)</x:v>
      </x:c>
      <x:c r="H1" s="64" t="str">
        <x:v>Personal Income</x:v>
      </x:c>
      <x:c r="I1" s="64" t="str">
        <x:v>Population</x:v>
      </x:c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65" t="n">
        <x:v>2005</x:v>
      </x:c>
      <x:c r="B2" s="66" t="n">
        <x:v>159995</x:v>
      </x:c>
      <x:c r="C2" s="66" t="n">
        <x:v>207098</x:v>
      </x:c>
      <x:c r="D2" s="66" t="n">
        <x:v>29603</x:v>
      </x:c>
      <x:c r="E2" s="66" t="n">
        <x:v>31414</x:v>
      </x:c>
      <x:c r="F2" s="66" t="n">
        <x:v>115507</x:v>
      </x:c>
      <x:c r="G2" s="66" t="n">
        <x:v>59438</x:v>
      </x:c>
      <x:c r="H2" s="66" t="n">
        <x:v>231202</x:v>
      </x:c>
      <x:c r="I2" s="66" t="n">
        <x:v>7.751</x:v>
      </x:c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65" t="n">
        <x:v>2006</x:v>
      </x:c>
      <x:c r="B3" s="66" t="n">
        <x:v>164387</x:v>
      </x:c>
      <x:c r="C3" s="66" t="n">
        <x:v>204619</x:v>
      </x:c>
      <x:c r="D3" s="66" t="n">
        <x:v>30607</x:v>
      </x:c>
      <x:c r="E3" s="66" t="n">
        <x:v>29320</x:v>
      </x:c>
      <x:c r="F3" s="66" t="n">
        <x:v>116488</x:v>
      </x:c>
      <x:c r="G3" s="66" t="n">
        <x:v>58191</x:v>
      </x:c>
      <x:c r="H3" s="66" t="n">
        <x:v>244612</x:v>
      </x:c>
      <x:c r="I3" s="66" t="n">
        <x:v>7.911</x:v>
      </x:c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65" t="n">
        <x:v>2007</x:v>
      </x:c>
      <x:c r="B4" s="66" t="n">
        <x:v>158733</x:v>
      </x:c>
      <x:c r="C4" s="66" t="n">
        <x:v>189795</x:v>
      </x:c>
      <x:c r="D4" s="66" t="n">
        <x:v>32158</x:v>
      </x:c>
      <x:c r="E4" s="66" t="n">
        <x:v>22548</x:v>
      </x:c>
      <x:c r="F4" s="66" t="n">
        <x:v>112059</x:v>
      </x:c>
      <x:c r="G4" s="66" t="n">
        <x:v>55360</x:v>
      </x:c>
      <x:c r="H4" s="66" t="n">
        <x:v>258162</x:v>
      </x:c>
      <x:c r="I4" s="66" t="n">
        <x:v>7.928</x:v>
      </x:c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65" t="n">
        <x:v>2008</x:v>
      </x:c>
      <x:c r="B5" s="66" t="n">
        <x:v>167869</x:v>
      </x:c>
      <x:c r="C5" s="66" t="n">
        <x:v>196127</x:v>
      </x:c>
      <x:c r="D5" s="66" t="n">
        <x:v>33933</x:v>
      </x:c>
      <x:c r="E5" s="66" t="n">
        <x:v>20699</x:v>
      </x:c>
      <x:c r="F5" s="66" t="n">
        <x:v>119942</x:v>
      </x:c>
      <x:c r="G5" s="66" t="n">
        <x:v>56018</x:v>
      </x:c>
      <x:c r="H5" s="66" t="n">
        <x:v>273504</x:v>
      </x:c>
      <x:c r="I5" s="66" t="n">
        <x:v>7.942</x:v>
      </x:c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65" t="n">
        <x:v>2009</x:v>
      </x:c>
      <x:c r="B6" s="66" t="n">
        <x:v>163312</x:v>
      </x:c>
      <x:c r="C6" s="66" t="n">
        <x:v>187185</x:v>
      </x:c>
      <x:c r="D6" s="66" t="n">
        <x:v>34283</x:v>
      </x:c>
      <x:c r="E6" s="66" t="n">
        <x:v>18353</x:v>
      </x:c>
      <x:c r="F6" s="66" t="n">
        <x:v>114840</x:v>
      </x:c>
      <x:c r="G6" s="66" t="n">
        <x:v>54791</x:v>
      </x:c>
      <x:c r="H6" s="66" t="n">
        <x:v>277523</x:v>
      </x:c>
      <x:c r="I6" s="66" t="n">
        <x:v>7.96</x:v>
      </x:c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65" t="n">
        <x:v>2010</x:v>
      </x:c>
      <x:c r="B7" s="66" t="n">
        <x:v>177985</x:v>
      </x:c>
      <x:c r="C7" s="66" t="n">
        <x:v>201462</x:v>
      </x:c>
      <x:c r="D7" s="66" t="n">
        <x:v>33671</x:v>
      </x:c>
      <x:c r="E7" s="66" t="n">
        <x:v>17140</x:v>
      </x:c>
      <x:c r="F7" s="66" t="n">
        <x:v>128264</x:v>
      </x:c>
      <x:c r="G7" s="66" t="n">
        <x:v>57345</x:v>
      </x:c>
      <x:c r="H7" s="66" t="n">
        <x:v>278051</x:v>
      </x:c>
      <x:c r="I7" s="66" t="n">
        <x:v>8.275</x:v>
      </x:c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65" t="n">
        <x:v>2011</x:v>
      </x:c>
      <x:c r="B8" s="66" t="n">
        <x:v>183227</x:v>
      </x:c>
      <x:c r="C8" s="66" t="n">
        <x:v>203703</x:v>
      </x:c>
      <x:c r="D8" s="66" t="n">
        <x:v>37334</x:v>
      </x:c>
      <x:c r="E8" s="66" t="n">
        <x:v>18970</x:v>
      </x:c>
      <x:c r="F8" s="66" t="n">
        <x:v>130215</x:v>
      </x:c>
      <x:c r="G8" s="66" t="n">
        <x:v>55436</x:v>
      </x:c>
      <x:c r="H8" s="66" t="n">
        <x:v>308303</x:v>
      </x:c>
      <x:c r="I8" s="66" t="n">
        <x:v>8.346</x:v>
      </x:c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65" t="n">
        <x:v>2012</x:v>
      </x:c>
      <x:c r="B9" s="66" t="n">
        <x:v>210952</x:v>
      </x:c>
      <x:c r="C9" s="66" t="n">
        <x:v>229874</x:v>
      </x:c>
      <x:c r="D9" s="66" t="n">
        <x:v>39285</x:v>
      </x:c>
      <x:c r="E9" s="66" t="n">
        <x:v>17851</x:v>
      </x:c>
      <x:c r="F9" s="66" t="n">
        <x:v>161123</x:v>
      </x:c>
      <x:c r="G9" s="66" t="n">
        <x:v>52777</x:v>
      </x:c>
      <x:c r="H9" s="66" t="n">
        <x:v>320530</x:v>
      </x:c>
      <x:c r="I9" s="66" t="n">
        <x:v>8.316</x:v>
      </x:c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65" t="n">
        <x:v>2013</x:v>
      </x:c>
      <x:c r="B10" s="66" t="n">
        <x:v>205367</x:v>
      </x:c>
      <x:c r="C10" s="66" t="n">
        <x:v>219225</x:v>
      </x:c>
      <x:c r="D10" s="66" t="n">
        <x:v>40255</x:v>
      </x:c>
      <x:c r="E10" s="66" t="n">
        <x:v>14566</x:v>
      </x:c>
      <x:c r="F10" s="66" t="n">
        <x:v>161592</x:v>
      </x:c>
      <x:c r="G10" s="66" t="n">
        <x:v>45450</x:v>
      </x:c>
      <x:c r="H10" s="66" t="n">
        <x:v>329284</x:v>
      </x:c>
      <x:c r="I10" s="66" t="n">
        <x:v>8.408</x:v>
      </x:c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65" t="n">
        <x:v>2014</x:v>
      </x:c>
      <x:c r="B11" s="66" t="n">
        <x:v>224368</x:v>
      </x:c>
      <x:c r="C11" s="66" t="n">
        <x:v>234929</x:v>
      </x:c>
      <x:c r="D11" s="66" t="n">
        <x:v>44943</x:v>
      </x:c>
      <x:c r="E11" s="66" t="n">
        <x:v>23967</x:v>
      </x:c>
      <x:c r="F11" s="66" t="n">
        <x:v>167414</x:v>
      </x:c>
      <x:c r="G11" s="66" t="n">
        <x:v>44154</x:v>
      </x:c>
      <x:c r="H11" s="66" t="n">
        <x:v>365743</x:v>
      </x:c>
      <x:c r="I11" s="66" t="n">
        <x:v>8.435</x:v>
      </x:c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65" t="n">
        <x:v>2015</x:v>
      </x:c>
      <x:c r="B12" s="66" t="n">
        <x:v>242678</x:v>
      </x:c>
      <x:c r="C12" s="66" t="n">
        <x:v>251104</x:v>
      </x:c>
      <x:c r="D12" s="66" t="n">
        <x:v>46502</x:v>
      </x:c>
      <x:c r="E12" s="66" t="n">
        <x:v>30924</x:v>
      </x:c>
      <x:c r="F12" s="66" t="n">
        <x:v>174746</x:v>
      </x:c>
      <x:c r="G12" s="66" t="n">
        <x:v>45352</x:v>
      </x:c>
      <x:c r="H12" s="66" t="n">
        <x:v>376107</x:v>
      </x:c>
      <x:c r="I12" s="66" t="n">
        <x:v>8.456</x:v>
      </x:c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65" t="n">
        <x:v>2016</x:v>
      </x:c>
      <x:c r="B13" s="66" t="n">
        <x:v>242864</x:v>
      </x:c>
      <x:c r="C13" s="66" t="n">
        <x:v>249050</x:v>
      </x:c>
      <x:c r="D13" s="66" t="n">
        <x:v>48121</x:v>
      </x:c>
      <x:c r="E13" s="66" t="n">
        <x:v>33946</x:v>
      </x:c>
      <x:c r="F13" s="66" t="n">
        <x:v>176171</x:v>
      </x:c>
      <x:c r="G13" s="66" t="n">
        <x:v>38883</x:v>
      </x:c>
      <x:c r="H13" s="66" t="n">
        <x:v>393482</x:v>
      </x:c>
      <x:c r="I13" s="66" t="n">
        <x:v>8.614</x:v>
      </x:c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65" t="n">
        <x:v>2017</x:v>
      </x:c>
      <x:c r="B14" s="66" t="n">
        <x:v>255925</x:v>
      </x:c>
      <x:c r="C14" s="66" t="n">
        <x:v>255925</x:v>
      </x:c>
      <x:c r="D14" s="66" t="n">
        <x:v>49530</x:v>
      </x:c>
      <x:c r="E14" s="66" t="n">
        <x:v>36865</x:v>
      </x:c>
      <x:c r="F14" s="66" t="n">
        <x:v>181260</x:v>
      </x:c>
      <x:c r="G14" s="66" t="n">
        <x:v>37800</x:v>
      </x:c>
      <x:c r="H14" s="66" t="n">
        <x:v>408078</x:v>
      </x:c>
      <x:c r="I14" s="66" t="n">
        <x:v>8.747</x:v>
      </x:c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65" t="n">
        <x:v>2018</x:v>
      </x:c>
      <x:c r="B15" s="66" t="n">
        <x:v>250944</x:v>
      </x:c>
      <x:c r="C15" s="66" t="n">
        <x:v>245421</x:v>
      </x:c>
      <x:c r="D15" s="66" t="n">
        <x:v>50979</x:v>
      </x:c>
      <x:c r="E15" s="66" t="n">
        <x:v>29036</x:v>
      </x:c>
      <x:c r="F15" s="66" t="n">
        <x:v>176326</x:v>
      </x:c>
      <x:c r="G15" s="66" t="n">
        <x:v>39936</x:v>
      </x:c>
      <x:c r="H15" s="66" t="n">
        <x:v>420274</x:v>
      </x:c>
      <x:c r="I15" s="66" t="n">
        <x:v>8.821</x:v>
      </x:c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65" t="n">
        <x:v>2019</x:v>
      </x:c>
      <x:c r="B16" s="66" t="n">
        <x:v>250897</x:v>
      </x:c>
      <x:c r="C16" s="66" t="n">
        <x:v>239391</x:v>
      </x:c>
      <x:c r="D16" s="66" t="n">
        <x:v>53197</x:v>
      </x:c>
      <x:c r="E16" s="66" t="n">
        <x:v>25140</x:v>
      </x:c>
      <x:c r="F16" s="66" t="n">
        <x:v>175008</x:v>
      </x:c>
      <x:c r="G16" s="66" t="n">
        <x:v>39007</x:v>
      </x:c>
      <x:c r="H16" s="66" t="n">
        <x:v>440523</x:v>
      </x:c>
      <x:c r="I16" s="66" t="n">
        <x:v>8.929</x:v>
      </x:c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65" t="n">
        <x:v>2020</x:v>
      </x:c>
      <x:c r="B17" s="66" t="n">
        <x:v>251036</x:v>
      </x:c>
      <x:c r="C17" s="66" t="n">
        <x:v>235382</x:v>
      </x:c>
      <x:c r="D17" s="66" t="n">
        <x:v>56037</x:v>
      </x:c>
      <x:c r="E17" s="66" t="n">
        <x:v>27662</x:v>
      </x:c>
      <x:c r="F17" s="66" t="n">
        <x:v>168445</x:v>
      </x:c>
      <x:c r="G17" s="66" t="n">
        <x:v>39151</x:v>
      </x:c>
      <x:c r="H17" s="66" t="n">
        <x:v>467460</x:v>
      </x:c>
      <x:c r="I17" s="66" t="n">
        <x:v>8.342</x:v>
      </x:c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65" t="n">
        <x:v>2021</x:v>
      </x:c>
      <x:c r="B18" s="66" t="n">
        <x:v>287094</x:v>
      </x:c>
      <x:c r="C18" s="66" t="n">
        <x:v>256721</x:v>
      </x:c>
      <x:c r="D18" s="66" t="n">
        <x:v>62618</x:v>
      </x:c>
      <x:c r="E18" s="66" t="n">
        <x:v>29075</x:v>
      </x:c>
      <x:c r="F18" s="66" t="n">
        <x:v>188411</x:v>
      </x:c>
      <x:c r="G18" s="66" t="n">
        <x:v>39166</x:v>
      </x:c>
      <x:c r="H18" s="66" t="n">
        <x:v>541522</x:v>
      </x:c>
      <x:c r="I18" s="66" t="n">
        <x:v>8.648</x:v>
      </x:c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65" t="n">
        <x:v>2022</x:v>
      </x:c>
      <x:c r="B19" s="66" t="n">
        <x:v>320462</x:v>
      </x:c>
      <x:c r="C19" s="66" t="n">
        <x:v>267230</x:v>
      </x:c>
      <x:c r="D19" s="66" t="n">
        <x:v>64150</x:v>
      </x:c>
      <x:c r="E19" s="66" t="n">
        <x:v>23108</x:v>
      </x:c>
      <x:c r="F19" s="66" t="n">
        <x:v>203407</x:v>
      </x:c>
      <x:c r="G19" s="66" t="n">
        <x:v>41218</x:v>
      </x:c>
      <x:c r="H19" s="66" t="n">
        <x:v>578891</x:v>
      </x:c>
      <x:c r="I19" s="66" t="n">
        <x:v>9.024</x:v>
      </x:c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65" t="n">
        <x:v>2023</x:v>
      </x:c>
      <x:c r="B20" s="66" t="n">
        <x:v>376169</x:v>
      </x:c>
      <x:c r="C20" s="66" t="n">
        <x:v>297934</x:v>
      </x:c>
      <x:c r="D20" s="66" t="n">
        <x:v>69825</x:v>
      </x:c>
      <x:c r="E20" s="66" t="n">
        <x:v>32394</x:v>
      </x:c>
      <x:c r="F20" s="66" t="n">
        <x:v>221036</x:v>
      </x:c>
      <x:c r="G20" s="66" t="n">
        <x:v>44126</x:v>
      </x:c>
      <x:c r="H20" s="66" t="n">
        <x:v>636594</x:v>
      </x:c>
      <x:c r="I20" s="66" t="n">
        <x:v>9.117</x:v>
      </x:c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65" t="n">
        <x:v>2024</x:v>
      </x:c>
      <x:c r="B21" s="66" t="n">
        <x:v>397639</x:v>
      </x:c>
      <x:c r="C21" s="66" t="n">
        <x:v>305824</x:v>
      </x:c>
      <x:c r="D21" s="66" t="n">
        <x:v>72654</x:v>
      </x:c>
      <x:c r="E21" s="66" t="n">
        <x:v>34687</x:v>
      </x:c>
      <x:c r="F21" s="66" t="n">
        <x:v>223833</x:v>
      </x:c>
      <x:c r="G21" s="66" t="n">
        <x:v>46818</x:v>
      </x:c>
      <x:c r="H21" s="66" t="n">
        <x:v>677863</x:v>
      </x:c>
      <x:c r="I21" s="66" t="n">
        <x:v>9.33</x:v>
      </x:c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</x:sheetData>
  <x:pageMargins left="0.7" right="0.7" top="0.75" bottom="0.75" header="0.3" footer="0.3"/>
  <x:tableParts count="1">
    <x:tablePart xmlns:r="http://schemas.openxmlformats.org/officeDocument/2006/relationships" r:id="R6f2b852601464b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4" t="str">
        <x:v>Formula-Driven Analysis Summary</x:v>
      </x:c>
      <x:c r="B1" s="66"/>
      <x:c r="C1" s="66"/>
      <x:c r="D1" s="67"/>
      <x:c r="E1" s="76"/>
      <x:c r="F1" s="76"/>
      <x:c r="G1" s="67"/>
      <x:c r="H1" s="76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/>
      <x:c r="B2" s="55"/>
      <x:c r="C2" s="55"/>
      <x:c r="D2" s="55"/>
      <x:c r="E2" s="55"/>
      <x:c r="F2" s="55"/>
      <x:c r="G2" s="55"/>
      <x:c r="H2" s="55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64" t="str">
        <x:v>Year</x:v>
      </x:c>
      <x:c r="B3" s="64" t="str">
        <x:v>Tourism Employment</x:v>
      </x:c>
      <x:c r="C3" s="64" t="str">
        <x:v>Total Employment</x:v>
      </x:c>
      <x:c r="D3" s="64" t="str">
        <x:v>Tourism Employment Share</x:v>
      </x:c>
      <x:c r="E3" s="64" t="str">
        <x:v>Tourism Wages</x:v>
      </x:c>
      <x:c r="F3" s="64" t="str">
        <x:v>Total Wages</x:v>
      </x:c>
      <x:c r="G3" s="64" t="str">
        <x:v>Tourism Wage Share</x:v>
      </x:c>
      <x:c r="H3" s="64" t="str">
        <x:v>Wages per Tourism Employee</x:v>
      </x:c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n">
        <x:v>2019</x:v>
      </x:c>
      <x:c r="B4" s="55" t="n">
        <x:f>SUMIFS(QCEW_Tourism_Sample!$E$2:$E$55,QCEW_Tourism_Sample!$A$2:$A$55,$A4,QCEW_Tourism_Sample!$R$2:$R$55,"Custer County, SD",QCEW_Tourism_Sample!$C$2:$C$55,"Tourism Total (71+72)")</x:f>
        <x:v>683</x:v>
      </x:c>
      <x:c r="C4" s="55" t="n">
        <x:f>SUMIFS(QCEW_Tourism_Sample!$H$2:$H$55,QCEW_Tourism_Sample!$A$2:$A$55,$A4,QCEW_Tourism_Sample!$R$2:$R$55,"Custer County, SD",QCEW_Tourism_Sample!$C$2:$C$55,"Tourism Total (71+72)")</x:f>
        <x:v>1882</x:v>
      </x:c>
      <x:c r="D4" s="55" t="n">
        <x:f>IFERROR(B4/C4,"")</x:f>
        <x:v>0.36291179596174283</x:v>
      </x:c>
      <x:c r="E4" s="55" t="n">
        <x:f>SUMIFS(QCEW_Tourism_Sample!$F$2:$F$55,QCEW_Tourism_Sample!$A$2:$A$55,$A4,QCEW_Tourism_Sample!$R$2:$R$55,"Custer County, SD",QCEW_Tourism_Sample!$C$2:$C$55,"Tourism Total (71+72)")</x:f>
        <x:v>16204718</x:v>
      </x:c>
      <x:c r="F4" s="55" t="n">
        <x:f>SUMIFS(QCEW_Tourism_Sample!$I$2:$I$55,QCEW_Tourism_Sample!$A$2:$A$55,$A4,QCEW_Tourism_Sample!$R$2:$R$55,"Custer County, SD",QCEW_Tourism_Sample!$C$2:$C$55,"Tourism Total (71+72)")</x:f>
        <x:v>62532888</x:v>
      </x:c>
      <x:c r="G4" s="55" t="n">
        <x:f>IFERROR(E4/F4,"")</x:f>
        <x:v>0.2591391269183026</x:v>
      </x:c>
      <x:c r="H4" s="55" t="n">
        <x:f>IFERROR(E4/B4,"")</x:f>
        <x:v>23725.795021961934</x:v>
      </x:c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n">
        <x:v>2020</x:v>
      </x:c>
      <x:c r="B5" s="55" t="n">
        <x:f>SUMIFS(QCEW_Tourism_Sample!$E$2:$E$55,QCEW_Tourism_Sample!$A$2:$A$55,$A5,QCEW_Tourism_Sample!$R$2:$R$55,"Custer County, SD",QCEW_Tourism_Sample!$C$2:$C$55,"Tourism Total (71+72)")</x:f>
        <x:v>529</x:v>
      </x:c>
      <x:c r="C5" s="55" t="n">
        <x:f>SUMIFS(QCEW_Tourism_Sample!$H$2:$H$55,QCEW_Tourism_Sample!$A$2:$A$55,$A5,QCEW_Tourism_Sample!$R$2:$R$55,"Custer County, SD",QCEW_Tourism_Sample!$C$2:$C$55,"Tourism Total (71+72)")</x:f>
        <x:v>1695</x:v>
      </x:c>
      <x:c r="D5" s="55" t="n">
        <x:f>IFERROR(B5/C5,"")</x:f>
        <x:v>0.31209439528023597</x:v>
      </x:c>
      <x:c r="E5" s="55" t="n">
        <x:f>SUMIFS(QCEW_Tourism_Sample!$F$2:$F$55,QCEW_Tourism_Sample!$A$2:$A$55,$A5,QCEW_Tourism_Sample!$R$2:$R$55,"Custer County, SD",QCEW_Tourism_Sample!$C$2:$C$55,"Tourism Total (71+72)")</x:f>
        <x:v>13943861</x:v>
      </x:c>
      <x:c r="F5" s="55" t="n">
        <x:f>SUMIFS(QCEW_Tourism_Sample!$I$2:$I$55,QCEW_Tourism_Sample!$A$2:$A$55,$A5,QCEW_Tourism_Sample!$R$2:$R$55,"Custer County, SD",QCEW_Tourism_Sample!$C$2:$C$55,"Tourism Total (71+72)")</x:f>
        <x:v>62073304</x:v>
      </x:c>
      <x:c r="G5" s="55" t="n">
        <x:f>IFERROR(E5/F5,"")</x:f>
        <x:v>0.2246353923741517</x:v>
      </x:c>
      <x:c r="H5" s="55" t="n">
        <x:f>IFERROR(E5/B5,"")</x:f>
        <x:v>26358.905482041588</x:v>
      </x:c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5" t="n">
        <x:v>2021</x:v>
      </x:c>
      <x:c r="B6" s="55" t="n">
        <x:f>SUMIFS(QCEW_Tourism_Sample!$E$2:$E$55,QCEW_Tourism_Sample!$A$2:$A$55,$A6,QCEW_Tourism_Sample!$R$2:$R$55,"Custer County, SD",QCEW_Tourism_Sample!$C$2:$C$55,"Tourism Total (71+72)")</x:f>
        <x:v>681</x:v>
      </x:c>
      <x:c r="C6" s="55" t="n">
        <x:f>SUMIFS(QCEW_Tourism_Sample!$H$2:$H$55,QCEW_Tourism_Sample!$A$2:$A$55,$A6,QCEW_Tourism_Sample!$R$2:$R$55,"Custer County, SD",QCEW_Tourism_Sample!$C$2:$C$55,"Tourism Total (71+72)")</x:f>
        <x:v>1955</x:v>
      </x:c>
      <x:c r="D6" s="55" t="n">
        <x:f>IFERROR(B6/C6,"")</x:f>
        <x:v>0.3483375959079284</x:v>
      </x:c>
      <x:c r="E6" s="55" t="n">
        <x:f>SUMIFS(QCEW_Tourism_Sample!$F$2:$F$55,QCEW_Tourism_Sample!$A$2:$A$55,$A6,QCEW_Tourism_Sample!$R$2:$R$55,"Custer County, SD",QCEW_Tourism_Sample!$C$2:$C$55,"Tourism Total (71+72)")</x:f>
        <x:v>19782832</x:v>
      </x:c>
      <x:c r="F6" s="55" t="n">
        <x:f>SUMIFS(QCEW_Tourism_Sample!$I$2:$I$55,QCEW_Tourism_Sample!$A$2:$A$55,$A6,QCEW_Tourism_Sample!$R$2:$R$55,"Custer County, SD",QCEW_Tourism_Sample!$C$2:$C$55,"Tourism Total (71+72)")</x:f>
        <x:v>76072702</x:v>
      </x:c>
      <x:c r="G6" s="55" t="n">
        <x:f>IFERROR(E6/F6,"")</x:f>
        <x:v>0.2600516542714626</x:v>
      </x:c>
      <x:c r="H6" s="55" t="n">
        <x:f>IFERROR(E6/B6,"")</x:f>
        <x:v>29049.6798825257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5" t="n">
        <x:v>2022</x:v>
      </x:c>
      <x:c r="B7" s="55" t="n">
        <x:f>SUMIFS(QCEW_Tourism_Sample!$E$2:$E$55,QCEW_Tourism_Sample!$A$2:$A$55,$A7,QCEW_Tourism_Sample!$R$2:$R$55,"Custer County, SD",QCEW_Tourism_Sample!$C$2:$C$55,"Tourism Total (71+72)")</x:f>
        <x:v>713</x:v>
      </x:c>
      <x:c r="C7" s="55" t="n">
        <x:f>SUMIFS(QCEW_Tourism_Sample!$H$2:$H$55,QCEW_Tourism_Sample!$A$2:$A$55,$A7,QCEW_Tourism_Sample!$R$2:$R$55,"Custer County, SD",QCEW_Tourism_Sample!$C$2:$C$55,"Tourism Total (71+72)")</x:f>
        <x:v>2010</x:v>
      </x:c>
      <x:c r="D7" s="55" t="n">
        <x:f>IFERROR(B7/C7,"")</x:f>
        <x:v>0.354726368159204</x:v>
      </x:c>
      <x:c r="E7" s="55" t="n">
        <x:f>SUMIFS(QCEW_Tourism_Sample!$F$2:$F$55,QCEW_Tourism_Sample!$A$2:$A$55,$A7,QCEW_Tourism_Sample!$R$2:$R$55,"Custer County, SD",QCEW_Tourism_Sample!$C$2:$C$55,"Tourism Total (71+72)")</x:f>
        <x:v>19703374</x:v>
      </x:c>
      <x:c r="F7" s="55" t="n">
        <x:f>SUMIFS(QCEW_Tourism_Sample!$I$2:$I$55,QCEW_Tourism_Sample!$A$2:$A$55,$A7,QCEW_Tourism_Sample!$R$2:$R$55,"Custer County, SD",QCEW_Tourism_Sample!$C$2:$C$55,"Tourism Total (71+72)")</x:f>
        <x:v>82925519</x:v>
      </x:c>
      <x:c r="G7" s="55" t="n">
        <x:f>IFERROR(E7/F7,"")</x:f>
        <x:v>0.2376032642014577</x:v>
      </x:c>
      <x:c r="H7" s="55" t="n">
        <x:f>IFERROR(E7/B7,"")</x:f>
        <x:v>27634.465638148667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5" t="n">
        <x:v>2023</x:v>
      </x:c>
      <x:c r="B8" s="55" t="n">
        <x:f>SUMIFS(QCEW_Tourism_Sample!$E$2:$E$55,QCEW_Tourism_Sample!$A$2:$A$55,$A8,QCEW_Tourism_Sample!$R$2:$R$55,"Custer County, SD",QCEW_Tourism_Sample!$C$2:$C$55,"Tourism Total (71+72)")</x:f>
        <x:v>727</x:v>
      </x:c>
      <x:c r="C8" s="55" t="n">
        <x:f>SUMIFS(QCEW_Tourism_Sample!$H$2:$H$55,QCEW_Tourism_Sample!$A$2:$A$55,$A8,QCEW_Tourism_Sample!$R$2:$R$55,"Custer County, SD",QCEW_Tourism_Sample!$C$2:$C$55,"Tourism Total (71+72)")</x:f>
        <x:v>2035</x:v>
      </x:c>
      <x:c r="D8" s="55" t="n">
        <x:f>IFERROR(B8/C8,"")</x:f>
        <x:v>0.3572481572481572</x:v>
      </x:c>
      <x:c r="E8" s="55" t="n">
        <x:f>SUMIFS(QCEW_Tourism_Sample!$F$2:$F$55,QCEW_Tourism_Sample!$A$2:$A$55,$A8,QCEW_Tourism_Sample!$R$2:$R$55,"Custer County, SD",QCEW_Tourism_Sample!$C$2:$C$55,"Tourism Total (71+72)")</x:f>
        <x:v>21491851</x:v>
      </x:c>
      <x:c r="F8" s="55" t="n">
        <x:f>SUMIFS(QCEW_Tourism_Sample!$I$2:$I$55,QCEW_Tourism_Sample!$A$2:$A$55,$A8,QCEW_Tourism_Sample!$R$2:$R$55,"Custer County, SD",QCEW_Tourism_Sample!$C$2:$C$55,"Tourism Total (71+72)")</x:f>
        <x:v>86431683</x:v>
      </x:c>
      <x:c r="G8" s="55" t="n">
        <x:f>IFERROR(E8/F8,"")</x:f>
        <x:v>0.2486570925617635</x:v>
      </x:c>
      <x:c r="H8" s="55" t="n">
        <x:f>IFERROR(E8/B8,"")</x:f>
        <x:v>29562.381017881704</x:v>
      </x:c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5"/>
      <x:c r="B9" s="55"/>
      <x:c r="C9" s="55"/>
      <x:c r="D9" s="55"/>
      <x:c r="E9" s="55"/>
      <x:c r="F9" s="55"/>
      <x:c r="G9" s="55"/>
      <x:c r="H9" s="55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77" t="str">
        <x:v>Metric</x:v>
      </x:c>
      <x:c r="B11" s="77" t="str">
        <x:v>Value</x:v>
      </x:c>
      <x:c r="C11" s="55"/>
      <x:c r="D11" s="55"/>
      <x:c r="E11" s="55"/>
      <x:c r="F11" s="55"/>
      <x:c r="G11" s="55"/>
      <x:c r="H11" s="55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78" t="str">
        <x:v>2019 tourism employment share</x:v>
      </x:c>
      <x:c r="B12" s="67" t="n">
        <x:f>D4</x:f>
        <x:v>0.36291179596174283</x:v>
      </x:c>
      <x:c r="C12" s="55"/>
      <x:c r="D12" s="55"/>
      <x:c r="E12" s="55"/>
      <x:c r="F12" s="55"/>
      <x:c r="G12" s="55"/>
      <x:c r="H12" s="55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78" t="str">
        <x:v>2023 tourism employment share</x:v>
      </x:c>
      <x:c r="B13" s="67" t="n">
        <x:f>D8</x:f>
        <x:v>0.3572481572481572</x:v>
      </x:c>
      <x:c r="C13" s="55"/>
      <x:c r="D13" s="55"/>
      <x:c r="E13" s="55"/>
      <x:c r="F13" s="55"/>
      <x:c r="G13" s="55"/>
      <x:c r="H13" s="55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78" t="str">
        <x:v>2019 tourism wage share</x:v>
      </x:c>
      <x:c r="B14" s="67" t="n">
        <x:f>G4</x:f>
        <x:v>0.2591391269183026</x:v>
      </x:c>
      <x:c r="C14" s="55"/>
      <x:c r="D14" s="55"/>
      <x:c r="E14" s="55"/>
      <x:c r="F14" s="55"/>
      <x:c r="G14" s="55"/>
      <x:c r="H14" s="55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78" t="str">
        <x:v>2023 tourism wage share</x:v>
      </x:c>
      <x:c r="B15" s="67" t="n">
        <x:f>G8</x:f>
        <x:v>0.2486570925617635</x:v>
      </x:c>
      <x:c r="C15" s="55"/>
      <x:c r="D15" s="55"/>
      <x:c r="E15" s="55"/>
      <x:c r="F15" s="55"/>
      <x:c r="G15" s="55"/>
      <x:c r="H15" s="55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78" t="str">
        <x:v>2019–2023 tourism employment change</x:v>
      </x:c>
      <x:c r="B16" s="67" t="n">
        <x:f>IFERROR((B8-B4)/B4,"")</x:f>
        <x:v>0.06442166910688141</x:v>
      </x:c>
      <x:c r="C16" s="55"/>
      <x:c r="D16" s="55"/>
      <x:c r="E16" s="55"/>
      <x:c r="F16" s="55"/>
      <x:c r="G16" s="55"/>
      <x:c r="H16" s="55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78" t="str">
        <x:v>2019–2023 tourism wage change</x:v>
      </x:c>
      <x:c r="B17" s="67" t="n">
        <x:f>IFERROR((E8-E4)/E4,"")</x:f>
        <x:v>0.3262712131121319</x:v>
      </x:c>
      <x:c r="C17" s="55"/>
      <x:c r="D17" s="55"/>
      <x:c r="E17" s="55"/>
      <x:c r="F17" s="55"/>
      <x:c r="G17" s="55"/>
      <x:c r="H17" s="55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4" t="str">
        <x:v>Custer County Tourism Economy: Public Data Workflow Dashboard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64" t="str">
        <x:v>KPI</x:v>
      </x:c>
      <x:c r="B3" s="64" t="str">
        <x:v>2019</x:v>
      </x:c>
      <x:c r="C3" s="64" t="str">
        <x:v>2023</x:v>
      </x:c>
      <x:c r="D3" s="64" t="str">
        <x:v>Change</x:v>
      </x:c>
      <x:c r="E3" s="55"/>
      <x:c r="F3" s="55"/>
      <x:c r="G3" s="55"/>
      <x:c r="H3" s="55"/>
      <x:c r="I3" s="55"/>
      <x:c r="J3" s="55"/>
      <x:c r="K3" s="55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78" t="str">
        <x:v>Tourism employment share</x:v>
      </x:c>
      <x:c r="B4" s="67" t="n">
        <x:f>Analysis_Summary!D4</x:f>
        <x:v>0.36291179596174283</x:v>
      </x:c>
      <x:c r="C4" s="67" t="n">
        <x:f>Analysis_Summary!D8</x:f>
        <x:v>0.3572481572481572</x:v>
      </x:c>
      <x:c r="D4" s="67" t="n">
        <x:f>IFERROR((C4-B4)/B4,"")</x:f>
        <x:v>-0.015606102575355945</x:v>
      </x:c>
      <x:c r="E4" s="55"/>
      <x:c r="F4" s="55"/>
      <x:c r="G4" s="55"/>
      <x:c r="H4" s="55"/>
      <x:c r="I4" s="55"/>
      <x:c r="J4" s="55"/>
      <x:c r="K4" s="55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78" t="str">
        <x:v>Tourism wage share</x:v>
      </x:c>
      <x:c r="B5" s="67" t="n">
        <x:f>Analysis_Summary!G4</x:f>
        <x:v>0.2591391269183026</x:v>
      </x:c>
      <x:c r="C5" s="67" t="n">
        <x:f>Analysis_Summary!G8</x:f>
        <x:v>0.2486570925617635</x:v>
      </x:c>
      <x:c r="D5" s="67" t="n">
        <x:f>IFERROR((C5-B5)/B5,"")</x:f>
        <x:v>-0.040449446909820455</x:v>
      </x:c>
      <x:c r="E5" s="55"/>
      <x:c r="F5" s="55"/>
      <x:c r="G5" s="55"/>
      <x:c r="H5" s="55"/>
      <x:c r="I5" s="55"/>
      <x:c r="J5" s="55"/>
      <x:c r="K5" s="55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78" t="str">
        <x:v>Tourism employment</x:v>
      </x:c>
      <x:c r="B6" s="66" t="n">
        <x:f>Analysis_Summary!B4</x:f>
        <x:v>683</x:v>
      </x:c>
      <x:c r="C6" s="66" t="n">
        <x:f>Analysis_Summary!B8</x:f>
        <x:v>727</x:v>
      </x:c>
      <x:c r="D6" s="67" t="n">
        <x:f>IFERROR((C6-B6)/B6,"")</x:f>
        <x:v>0.06442166910688141</x:v>
      </x:c>
      <x:c r="E6" s="55"/>
      <x:c r="F6" s="55"/>
      <x:c r="G6" s="55"/>
      <x:c r="H6" s="55"/>
      <x:c r="I6" s="55"/>
      <x:c r="J6" s="55"/>
      <x:c r="K6" s="55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78" t="str">
        <x:v>Tourism wages</x:v>
      </x:c>
      <x:c r="B7" s="76" t="n">
        <x:f>Analysis_Summary!E4</x:f>
        <x:v>16204718</x:v>
      </x:c>
      <x:c r="C7" s="76" t="n">
        <x:f>Analysis_Summary!E8</x:f>
        <x:v>21491851</x:v>
      </x:c>
      <x:c r="D7" s="67" t="n">
        <x:f>IFERROR((C7-B7)/B7,"")</x:f>
        <x:v>0.3262712131121319</x:v>
      </x:c>
      <x:c r="E7" s="55"/>
      <x:c r="F7" s="55"/>
      <x:c r="G7" s="55"/>
      <x:c r="H7" s="55"/>
      <x:c r="I7" s="55"/>
      <x:c r="J7" s="55"/>
      <x:c r="K7" s="55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64" t="str">
        <x:v>Year</x:v>
      </x:c>
      <x:c r="B10" s="64" t="str">
        <x:v>Tourism Employment Share</x:v>
      </x:c>
      <x:c r="C10" s="64" t="str">
        <x:v>Tourism Wage Share</x:v>
      </x:c>
      <x:c r="D10" s="64" t="str">
        <x:v>Tourism Employment</x:v>
      </x:c>
      <x:c r="E10" s="55"/>
      <x:c r="F10" s="55"/>
      <x:c r="G10" s="55"/>
      <x:c r="H10" s="55"/>
      <x:c r="I10" s="55"/>
      <x:c r="J10" s="55"/>
      <x:c r="K10" s="55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5" t="n">
        <x:v>2019</x:v>
      </x:c>
      <x:c r="B11" s="67" t="n">
        <x:f>Analysis_Summary!D4</x:f>
        <x:v>0.36291179596174283</x:v>
      </x:c>
      <x:c r="C11" s="67" t="n">
        <x:f>Analysis_Summary!G4</x:f>
        <x:v>0.2591391269183026</x:v>
      </x:c>
      <x:c r="D11" s="66" t="n">
        <x:f>Analysis_Summary!B4</x:f>
        <x:v>683</x:v>
      </x:c>
      <x:c r="E11" s="55"/>
      <x:c r="F11" s="55"/>
      <x:c r="G11" s="55"/>
      <x:c r="H11" s="55"/>
      <x:c r="I11" s="55"/>
      <x:c r="J11" s="55"/>
      <x:c r="K11" s="55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5" t="n">
        <x:v>2020</x:v>
      </x:c>
      <x:c r="B12" s="67" t="n">
        <x:f>Analysis_Summary!D5</x:f>
        <x:v>0.31209439528023597</x:v>
      </x:c>
      <x:c r="C12" s="67" t="n">
        <x:f>Analysis_Summary!G5</x:f>
        <x:v>0.2246353923741517</x:v>
      </x:c>
      <x:c r="D12" s="66" t="n">
        <x:f>Analysis_Summary!B5</x:f>
        <x:v>529</x:v>
      </x:c>
      <x:c r="E12" s="55"/>
      <x:c r="F12" s="55"/>
      <x:c r="G12" s="55"/>
      <x:c r="H12" s="55"/>
      <x:c r="I12" s="55"/>
      <x:c r="J12" s="55"/>
      <x:c r="K12" s="55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5" t="n">
        <x:v>2021</x:v>
      </x:c>
      <x:c r="B13" s="67" t="n">
        <x:f>Analysis_Summary!D6</x:f>
        <x:v>0.3483375959079284</x:v>
      </x:c>
      <x:c r="C13" s="67" t="n">
        <x:f>Analysis_Summary!G6</x:f>
        <x:v>0.2600516542714626</x:v>
      </x:c>
      <x:c r="D13" s="66" t="n">
        <x:f>Analysis_Summary!B6</x:f>
        <x:v>681</x:v>
      </x:c>
      <x:c r="E13" s="55"/>
      <x:c r="F13" s="55"/>
      <x:c r="G13" s="55"/>
      <x:c r="H13" s="55"/>
      <x:c r="I13" s="55"/>
      <x:c r="J13" s="55"/>
      <x:c r="K13" s="55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5" t="n">
        <x:v>2022</x:v>
      </x:c>
      <x:c r="B14" s="67" t="n">
        <x:f>Analysis_Summary!D7</x:f>
        <x:v>0.354726368159204</x:v>
      </x:c>
      <x:c r="C14" s="67" t="n">
        <x:f>Analysis_Summary!G7</x:f>
        <x:v>0.2376032642014577</x:v>
      </x:c>
      <x:c r="D14" s="66" t="n">
        <x:f>Analysis_Summary!B7</x:f>
        <x:v>713</x:v>
      </x:c>
      <x:c r="E14" s="55"/>
      <x:c r="F14" s="55"/>
      <x:c r="G14" s="55"/>
      <x:c r="H14" s="55"/>
      <x:c r="I14" s="55"/>
      <x:c r="J14" s="55"/>
      <x:c r="K14" s="55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5" t="n">
        <x:v>2023</x:v>
      </x:c>
      <x:c r="B15" s="67" t="n">
        <x:f>Analysis_Summary!D8</x:f>
        <x:v>0.3572481572481572</x:v>
      </x:c>
      <x:c r="C15" s="67" t="n">
        <x:f>Analysis_Summary!G8</x:f>
        <x:v>0.2486570925617635</x:v>
      </x:c>
      <x:c r="D15" s="66" t="n">
        <x:f>Analysis_Summary!B8</x:f>
        <x:v>727</x:v>
      </x:c>
      <x:c r="E15" s="55"/>
      <x:c r="F15" s="55"/>
      <x:c r="G15" s="55"/>
      <x:c r="H15" s="55"/>
      <x:c r="I15" s="55"/>
      <x:c r="J15" s="55"/>
      <x:c r="K15" s="55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53421faa017e4c66"/>
</x:worksheet>
</file>