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03c8706ae54b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800ac485c8040c9"/>
    <x:sheet xmlns:r="http://schemas.openxmlformats.org/officeDocument/2006/relationships" name="Source_Catalog" sheetId="2" r:id="R485b9f4a5e5f491f"/>
    <x:sheet xmlns:r="http://schemas.openxmlformats.org/officeDocument/2006/relationships" name="API_Workflow" sheetId="3" r:id="R15bf11884305493f"/>
    <x:sheet xmlns:r="http://schemas.openxmlformats.org/officeDocument/2006/relationships" name="QCEW_Tourism_Sample" sheetId="4" r:id="R9f44c01f2ab64213"/>
    <x:sheet xmlns:r="http://schemas.openxmlformats.org/officeDocument/2006/relationships" name="FRED_BEA_Sample" sheetId="5" r:id="R76916645c92142f6"/>
    <x:sheet xmlns:r="http://schemas.openxmlformats.org/officeDocument/2006/relationships" name="Analysis_Summary" sheetId="6" r:id="R15961104fd06422d"/>
    <x:sheet xmlns:r="http://schemas.openxmlformats.org/officeDocument/2006/relationships" name="Dashboard" sheetId="7" r:id="Rdbde0f59f70149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$#,##0"/>
    <x:numFmt numFmtId="202" formatCode="0"/>
    <x:numFmt numFmtId="203" formatCode="#,##0"/>
  </x:numFmts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D9EAF7"/>
      </x:patternFill>
    </x:fill>
    <x:fill>
      <x:patternFill patternType="solid">
        <x:fgColor rgb="EAF2F8"/>
      </x:patternFill>
    </x:fill>
  </x:fills>
  <x:borders count="2">
    <x:border/>
    <x:border/>
  </x:borders>
  <x:cellStyleXfs count="1">
    <x:xf numFmtId="0" fontId="0" fillId="0" borderId="0"/>
  </x:cellStyleXfs>
  <x:cellXfs count="4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db63f35f514779" /><Relationship Type="http://schemas.openxmlformats.org/officeDocument/2006/relationships/theme" Target="/xl/theme/theme1.xml" Id="R8001d63b7d244830" /><Relationship Type="http://schemas.openxmlformats.org/officeDocument/2006/relationships/sharedStrings" Target="/xl/sharedStrings.xml" Id="R2a15d386e7c74c99" /><Relationship Type="http://schemas.openxmlformats.org/officeDocument/2006/relationships/worksheet" Target="/xl/worksheets/sheet1.xml" Id="R9800ac485c8040c9" /><Relationship Type="http://schemas.openxmlformats.org/officeDocument/2006/relationships/worksheet" Target="/xl/worksheets/sheet2.xml" Id="R485b9f4a5e5f491f" /><Relationship Type="http://schemas.openxmlformats.org/officeDocument/2006/relationships/worksheet" Target="/xl/worksheets/sheet3.xml" Id="R15bf11884305493f" /><Relationship Type="http://schemas.openxmlformats.org/officeDocument/2006/relationships/worksheet" Target="/xl/worksheets/sheet4.xml" Id="R9f44c01f2ab64213" /><Relationship Type="http://schemas.openxmlformats.org/officeDocument/2006/relationships/worksheet" Target="/xl/worksheets/sheet5.xml" Id="R76916645c92142f6" /><Relationship Type="http://schemas.openxmlformats.org/officeDocument/2006/relationships/worksheet" Target="/xl/worksheets/sheet6.xml" Id="R15961104fd06422d" /><Relationship Type="http://schemas.openxmlformats.org/officeDocument/2006/relationships/worksheet" Target="/xl/worksheets/sheet7.xml" Id="Rdbde0f59f70149e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00a9062923a4dfb" /><Relationship Type="http://schemas.openxmlformats.org/officeDocument/2006/relationships/chart" Target="/xl/drawings/charts/chart2.xml" Id="Rd46306ceeca748a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lineChart>
        <c:ser>
          <c:idx val="0"/>
          <c:order val="0"/>
          <c:tx>
            <c:v>Tourism Employment Share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Tourism Wage Share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0%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overlay val="0"/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Year</a:t>
                </a:r>
              </a:p>
            </c:rich>
          </c:tx>
        </c:title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overlay val="0"/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Share</a:t>
                </a:r>
              </a:p>
            </c:rich>
          </c:tx>
        </c:title>
        <c:numFmt formatCode="0%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v>Custer Tourism Employment Share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0%</c:formatCode>
                <c:ptCount val="0"/>
              </c:numCache>
            </c:numRef>
          </c:val>
        </c:ser>
        <c:ser>
          <c:idx val="1"/>
          <c:order val="1"/>
          <c:tx>
            <c:v>Benchmark Tourism Employment Share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'Dashboard'!$E$13:$E$17</c:f>
              <c:numCache>
                <c:formatCode>0%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overlay val="0"/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Year</a:t>
                </a:r>
              </a:p>
            </c:rich>
          </c:tx>
        </c:title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overlay val="0"/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/>
                  <a:t>Employment Share</a:t>
                </a:r>
              </a:p>
            </c:rich>
          </c:tx>
        </c:title>
        <c:numFmt formatCode="0%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11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0a9062923a4dfb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11</xdr:col>
      <xdr:colOff>0</xdr:colOff>
      <xdr:row>32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6306ceeca748a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ourceCatalog" displayName="SourceCatalog" ref="A3:F8" headerRowCount="1">
  <x:tableColumns count="6">
    <x:tableColumn id="1" name="Source"/>
    <x:tableColumn id="2" name="Series / Table Type"/>
    <x:tableColumn id="3" name="Use in Analysis"/>
    <x:tableColumn id="4" name="Frequency"/>
    <x:tableColumn id="5" name="Access Method"/>
    <x:tableColumn id="6" name="Plain-text URL"/>
  </x:tableColumns>
  <x:tableStyleInfo name="TableStyleMedium2" showRowStripes="1"/>
</x:table>
</file>

<file path=xl/tables/table2.xml><?xml version="1.0" encoding="utf-8"?>
<x:table xmlns:x="http://schemas.openxmlformats.org/spreadsheetml/2006/main" id="2" name="APIWorkflow" displayName="APIWorkflow" ref="A3:E9" headerRowCount="1">
  <x:tableColumns count="5">
    <x:tableColumn id="1" name="Step"/>
    <x:tableColumn id="2" name="Task"/>
    <x:tableColumn id="3" name="Example Inputs"/>
    <x:tableColumn id="4" name="Output"/>
    <x:tableColumn id="5" name="Quality Check"/>
  </x:tableColumns>
  <x:tableStyleInfo name="TableStyleMedium2" showRowStripes="1"/>
</x:table>
</file>

<file path=xl/tables/table3.xml><?xml version="1.0" encoding="utf-8"?>
<x:table xmlns:x="http://schemas.openxmlformats.org/spreadsheetml/2006/main" id="3" name="QCEWTourismSample" displayName="QCEWTourismSample" ref="A3:H8" headerRowCount="1">
  <x:tableColumns count="8">
    <x:tableColumn id="1" name="Year"/>
    <x:tableColumn id="2" name="Total Employment"/>
    <x:tableColumn id="3" name="Tourism Employment"/>
    <x:tableColumn id="4" name="Tourism Employment Share"/>
    <x:tableColumn id="5" name="Total Wages"/>
    <x:tableColumn id="6" name="Tourism Wages"/>
    <x:tableColumn id="7" name="Tourism Wage Share"/>
    <x:tableColumn id="8" name="Tourism Wage per Worker"/>
  </x:tableColumns>
  <x:tableStyleInfo name="TableStyleMedium2" showRowStripes="1"/>
</x:table>
</file>

<file path=xl/tables/table4.xml><?xml version="1.0" encoding="utf-8"?>
<x:table xmlns:x="http://schemas.openxmlformats.org/spreadsheetml/2006/main" id="4" name="FREDBEASample" displayName="FREDBEASample" ref="A3:H8" headerRowCount="1">
  <x:tableColumns count="8">
    <x:tableColumn id="1" name="Year"/>
    <x:tableColumn id="2" name="Custer Personal Income ($M)"/>
    <x:tableColumn id="3" name="Custer Population"/>
    <x:tableColumn id="4" name="Custer Per-Capita Income"/>
    <x:tableColumn id="5" name="Benchmark Tourism Employment Share"/>
    <x:tableColumn id="6" name="Benchmark Wage Share"/>
    <x:tableColumn id="7" name="Taxable Sales Index"/>
    <x:tableColumn id="8" name="Lodging Capacity Index"/>
  </x:tableColumns>
  <x:tableStyleInfo name="TableStyleMedium2" showRowStripes="1"/>
</x:table>
</file>

<file path=xl/tables/table5.xml><?xml version="1.0" encoding="utf-8"?>
<x:table xmlns:x="http://schemas.openxmlformats.org/spreadsheetml/2006/main" id="5" name="AnalysisSummary" displayName="AnalysisSummary" ref="A3:F9" headerRowCount="1">
  <x:tableColumns count="6">
    <x:tableColumn id="1" name="Metric"/>
    <x:tableColumn id="2" name="2019"/>
    <x:tableColumn id="3" name="2023"/>
    <x:tableColumn id="4" name="Change"/>
    <x:tableColumn id="5" name="Formula Logic"/>
    <x:tableColumn id="6" name="Interpreta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d1b11b41814ac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146455112a45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94dcbd0863f45e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64989a2c53848c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a98649926a44b5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abf1554f3ded4f5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5" hidden="0" customWidth="1"/>
  </x:cols>
  <x:sheetData>
    <x:row r="1" ht="28" customHeight="1">
      <x:c r="A1" s="5" t="str">
        <x:v>Custer County Tourism Economy: Public Data Workflow Demo</x:v>
      </x:c>
    </x:row>
    <x:row r="3">
      <x:c r="A3" s="11" t="str">
        <x:v>Purpose</x:v>
      </x:c>
      <x:c r="B3" s="14" t="str">
        <x:v>Cleaned portfolio workbook demonstrating how public economic data can be organized for regional economic-development analysis.</x:v>
      </x:c>
    </x:row>
    <x:row r="4">
      <x:c r="A4" s="11" t="str">
        <x:v>Project</x:v>
      </x:c>
      <x:c r="B4" s="14" t="str">
        <x:v>Custer Area Economic Development Foundation / Coyote Business Consulting</x:v>
      </x:c>
    </x:row>
    <x:row r="5">
      <x:c r="A5" s="11" t="str">
        <x:v>Scope note</x:v>
      </x:c>
      <x:c r="B5" s="14" t="str">
        <x:v>This workbook is a polished demonstration artifact. It illustrates the public-data workflow and summary logic; it is not every raw working file from the original client project.</x:v>
      </x:c>
    </x:row>
    <x:row r="6">
      <x:c r="A6" s="11" t="str">
        <x:v>Data sources illustrated</x:v>
      </x:c>
      <x:c r="B6" s="14" t="str">
        <x:v>BLS/QCEW-style tourism employment and wage data; FRED/BEA-style county economic context series; public tourism and taxable-sales indicators.</x:v>
      </x:c>
    </x:row>
    <x:row r="7">
      <x:c r="A7" s="11" t="str">
        <x:v>Dashboard correction</x:v>
      </x:c>
      <x:c r="B7" s="14" t="str">
        <x:v>This version replaces the earlier empty placeholder chart with a populated Custer vs. benchmark tourism-employment comparison.</x:v>
      </x:c>
    </x:row>
    <x:row r="8">
      <x:c r="A8" s="11" t="str">
        <x:v>Workbook structure</x:v>
      </x:c>
      <x:c r="B8" s="14" t="str">
        <x:v>Source catalog, API workflow, sample public data, analysis summary, and dashboard.</x:v>
      </x:c>
    </x:row>
    <x:row r="9">
      <x:c r="A9" s="11" t="str">
        <x:v>Prepared for</x:v>
      </x:c>
      <x:c r="B9" s="14" t="str">
        <x:v>Public portfolio review by recruiters, graduate admissions readers, and economic-development stakeholders.</x:v>
      </x:c>
    </x:row>
    <x:row r="10">
      <x:c r="A10" s="11" t="str">
        <x:v>Author role</x:v>
      </x:c>
      <x:c r="B10" s="14" t="str">
        <x:v>Full technical, analytical, writing, and presentation contributor on the Custer project.</x:v>
      </x:c>
    </x:row>
    <x:row r="11">
      <x:c r="A11" s="11" t="str">
        <x:v>Date prepared</x:v>
      </x:c>
      <x:c r="B11" s="14" t="str">
        <x:v>2026-06-07</x:v>
      </x:c>
    </x:row>
    <x:row r="12">
      <x:c r="A12" s="11" t="str">
        <x:v>Reproduction note</x:v>
      </x:c>
      <x:c r="B12" s="14" t="str">
        <x:v>The workbook uses compact sample tables and formulas so the logic is visible without exposing every original working file.</x:v>
      </x:c>
    </x:row>
    <x:row r="13">
      <x:c r="A13" s="11" t="str">
        <x:v>Version</x:v>
      </x:c>
      <x:c r="B13" s="14" t="str">
        <x:v>Corrected workbook demo with fully populated dashboard charts.</x:v>
      </x:c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26" hidden="0" customWidth="1"/>
    <x:col min="4" max="4" width="26" hidden="0" customWidth="1"/>
    <x:col min="5" max="5" width="26" hidden="0" customWidth="1"/>
    <x:col min="6" max="6" width="45" hidden="0" customWidth="1"/>
  </x:cols>
  <x:sheetData>
    <x:row r="1" ht="28" customHeight="1">
      <x:c r="A1" s="5" t="str">
        <x:v>Public Data Source Catalog</x:v>
      </x:c>
    </x:row>
    <x:row r="3">
      <x:c r="A3" s="19" t="str">
        <x:v>Source</x:v>
      </x:c>
      <x:c r="B3" s="19" t="str">
        <x:v>Series / Table Type</x:v>
      </x:c>
      <x:c r="C3" s="19" t="str">
        <x:v>Use in Analysis</x:v>
      </x:c>
      <x:c r="D3" s="19" t="str">
        <x:v>Frequency</x:v>
      </x:c>
      <x:c r="E3" s="19" t="str">
        <x:v>Access Method</x:v>
      </x:c>
      <x:c r="F3" s="19" t="str">
        <x:v>Plain-text URL</x:v>
      </x:c>
    </x:row>
    <x:row r="4">
      <x:c r="A4" s="14" t="str">
        <x:v>BLS QCEW</x:v>
      </x:c>
      <x:c r="B4" s="14" t="str">
        <x:v>County employment and wage data by industry</x:v>
      </x:c>
      <x:c r="C4" s="14" t="str">
        <x:v>Tourism labor-market sample and industry share estimates</x:v>
      </x:c>
      <x:c r="D4" s="14" t="str">
        <x:v>Annual / quarterly</x:v>
      </x:c>
      <x:c r="E4" s="14" t="str">
        <x:v>Public API or CSV download</x:v>
      </x:c>
      <x:c r="F4" s="14" t="str">
        <x:v>https://www.bls.gov/cew/downloadable-data-files.htm</x:v>
      </x:c>
    </x:row>
    <x:row r="5">
      <x:c r="A5" s="14" t="str">
        <x:v>FRED</x:v>
      </x:c>
      <x:c r="B5" s="14" t="str">
        <x:v>County-level contextual economic indicators</x:v>
      </x:c>
      <x:c r="C5" s="14" t="str">
        <x:v>Benchmarking and contextual trend review</x:v>
      </x:c>
      <x:c r="D5" s="14" t="str">
        <x:v>Annual / quarterly</x:v>
      </x:c>
      <x:c r="E5" s="14" t="str">
        <x:v>FRED API / CSV export</x:v>
      </x:c>
      <x:c r="F5" s="14" t="str">
        <x:v>https://fred.stlouisfed.org/</x:v>
      </x:c>
    </x:row>
    <x:row r="6">
      <x:c r="A6" s="14" t="str">
        <x:v>BEA</x:v>
      </x:c>
      <x:c r="B6" s="14" t="str">
        <x:v>Regional GDP and personal income accounts</x:v>
      </x:c>
      <x:c r="C6" s="14" t="str">
        <x:v>County/regional economic context</x:v>
      </x:c>
      <x:c r="D6" s="14" t="str">
        <x:v>Annual</x:v>
      </x:c>
      <x:c r="E6" s="14" t="str">
        <x:v>BEA API / CSV export</x:v>
      </x:c>
      <x:c r="F6" s="14" t="str">
        <x:v>https://www.bea.gov/data</x:v>
      </x:c>
    </x:row>
    <x:row r="7">
      <x:c r="A7" s="14" t="str">
        <x:v>South Dakota public sources</x:v>
      </x:c>
      <x:c r="B7" s="14" t="str">
        <x:v>Tourism, taxable sales, lodging, park, and visitor indicators</x:v>
      </x:c>
      <x:c r="C7" s="14" t="str">
        <x:v>Local tourism and fiscal context</x:v>
      </x:c>
      <x:c r="D7" s="14" t="str">
        <x:v>Annual / monthly</x:v>
      </x:c>
      <x:c r="E7" s="14" t="str">
        <x:v>Public reports and downloadable tables</x:v>
      </x:c>
      <x:c r="F7" s="14" t="str">
        <x:v>https://sdvisit.com/</x:v>
      </x:c>
    </x:row>
    <x:row r="8">
      <x:c r="A8" s="14" t="str">
        <x:v>U.S. Census Bureau</x:v>
      </x:c>
      <x:c r="B8" s="14" t="str">
        <x:v>Population estimates</x:v>
      </x:c>
      <x:c r="C8" s="14" t="str">
        <x:v>Per-capita normalization and regional context</x:v>
      </x:c>
      <x:c r="D8" s="14" t="str">
        <x:v>Annual</x:v>
      </x:c>
      <x:c r="E8" s="14" t="str">
        <x:v>API / CSV download</x:v>
      </x:c>
      <x:c r="F8" s="14" t="str">
        <x:v>https://www.census.gov/programs-surveys/popest.html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ead1b11b41814ac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2" hidden="0" customWidth="1"/>
    <x:col min="3" max="3" width="32" hidden="0" customWidth="1"/>
    <x:col min="4" max="4" width="32" hidden="0" customWidth="1"/>
    <x:col min="5" max="5" width="32" hidden="0" customWidth="1"/>
  </x:cols>
  <x:sheetData>
    <x:row r="1" ht="28" customHeight="1">
      <x:c r="A1" s="5" t="str">
        <x:v>Public Data Workflow</x:v>
      </x:c>
    </x:row>
    <x:row r="3">
      <x:c r="A3" s="19" t="str">
        <x:v>Step</x:v>
      </x:c>
      <x:c r="B3" s="19" t="str">
        <x:v>Task</x:v>
      </x:c>
      <x:c r="C3" s="19" t="str">
        <x:v>Example Inputs</x:v>
      </x:c>
      <x:c r="D3" s="19" t="str">
        <x:v>Output</x:v>
      </x:c>
      <x:c r="E3" s="19" t="str">
        <x:v>Quality Check</x:v>
      </x:c>
    </x:row>
    <x:row r="4">
      <x:c r="A4" s="14" t="n">
        <x:v>1</x:v>
      </x:c>
      <x:c r="B4" s="14" t="str">
        <x:v>Identify public series</x:v>
      </x:c>
      <x:c r="C4" s="14" t="str">
        <x:v>County, NAICS/tourism sectors, dates</x:v>
      </x:c>
      <x:c r="D4" s="14" t="str">
        <x:v>Source list and pull plan</x:v>
      </x:c>
      <x:c r="E4" s="14" t="str">
        <x:v>Confirm series definitions match project question</x:v>
      </x:c>
    </x:row>
    <x:row r="5">
      <x:c r="A5" s="14" t="n">
        <x:v>2</x:v>
      </x:c>
      <x:c r="B5" s="14" t="str">
        <x:v>Pull data from public sources</x:v>
      </x:c>
      <x:c r="C5" s="14" t="str">
        <x:v>BLS/QCEW, FRED/BEA, SD tourism reports</x:v>
      </x:c>
      <x:c r="D5" s="14" t="str">
        <x:v>Raw CSV/API tables</x:v>
      </x:c>
      <x:c r="E5" s="14" t="str">
        <x:v>Check year coverage and missing values</x:v>
      </x:c>
    </x:row>
    <x:row r="6">
      <x:c r="A6" s="14" t="n">
        <x:v>3</x:v>
      </x:c>
      <x:c r="B6" s="14" t="str">
        <x:v>Clean and standardize</x:v>
      </x:c>
      <x:c r="C6" s="14" t="str">
        <x:v>Year, county, industry, value fields</x:v>
      </x:c>
      <x:c r="D6" s="14" t="str">
        <x:v>Analysis-ready tables</x:v>
      </x:c>
      <x:c r="E6" s="14" t="str">
        <x:v>Consistent county/year identifiers</x:v>
      </x:c>
    </x:row>
    <x:row r="7">
      <x:c r="A7" s="14" t="n">
        <x:v>4</x:v>
      </x:c>
      <x:c r="B7" s="14" t="str">
        <x:v>Create derived metrics</x:v>
      </x:c>
      <x:c r="C7" s="14" t="str">
        <x:v>Tourism share, wage share, growth rates</x:v>
      </x:c>
      <x:c r="D7" s="14" t="str">
        <x:v>Summary indicators</x:v>
      </x:c>
      <x:c r="E7" s="14" t="str">
        <x:v>Formula checks against base values</x:v>
      </x:c>
    </x:row>
    <x:row r="8">
      <x:c r="A8" s="14" t="n">
        <x:v>5</x:v>
      </x:c>
      <x:c r="B8" s="14" t="str">
        <x:v>Benchmark and interpret</x:v>
      </x:c>
      <x:c r="C8" s="14" t="str">
        <x:v>Custer vs. regional/state comparison</x:v>
      </x:c>
      <x:c r="D8" s="14" t="str">
        <x:v>Findings and visuals</x:v>
      </x:c>
      <x:c r="E8" s="14" t="str">
        <x:v>Confirm interpretation aligns with data limitations</x:v>
      </x:c>
    </x:row>
    <x:row r="9">
      <x:c r="A9" s="14" t="n">
        <x:v>6</x:v>
      </x:c>
      <x:c r="B9" s="14" t="str">
        <x:v>Translate for client</x:v>
      </x:c>
      <x:c r="C9" s="14" t="str">
        <x:v>Tables, charts, narrative synthesis</x:v>
      </x:c>
      <x:c r="D9" s="14" t="str">
        <x:v>Report, slides, and brief</x:v>
      </x:c>
      <x:c r="E9" s="14" t="str">
        <x:v>Clear nontechnical takeaway for client audience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77146455112a455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8" customHeight="1">
      <x:c r="A1" s="5" t="str">
        <x:v>BLS/QCEW-Style Tourism Labor-Market Sample</x:v>
      </x:c>
    </x:row>
    <x:row r="3">
      <x:c r="A3" s="19" t="str">
        <x:v>Year</x:v>
      </x:c>
      <x:c r="B3" s="19" t="str">
        <x:v>Total Employment</x:v>
      </x:c>
      <x:c r="C3" s="19" t="str">
        <x:v>Tourism Employment</x:v>
      </x:c>
      <x:c r="D3" s="19" t="str">
        <x:v>Tourism Employment Share</x:v>
      </x:c>
      <x:c r="E3" s="19" t="str">
        <x:v>Total Wages</x:v>
      </x:c>
      <x:c r="F3" s="19" t="str">
        <x:v>Tourism Wages</x:v>
      </x:c>
      <x:c r="G3" s="19" t="str">
        <x:v>Tourism Wage Share</x:v>
      </x:c>
      <x:c r="H3" s="19" t="str">
        <x:v>Tourism Wage per Worker</x:v>
      </x:c>
    </x:row>
    <x:row r="4">
      <x:c r="A4" t="n">
        <x:v>2019</x:v>
      </x:c>
      <x:c r="B4" t="n">
        <x:v>1882</x:v>
      </x:c>
      <x:c r="C4" t="n">
        <x:v>683</x:v>
      </x:c>
      <x:c r="D4" s="24" t="n">
        <x:f>C4/B4</x:f>
        <x:v>0.36291179596174283</x:v>
      </x:c>
      <x:c r="E4" s="26" t="n">
        <x:v>62500000</x:v>
      </x:c>
      <x:c r="F4" s="26" t="n">
        <x:v>16204718</x:v>
      </x:c>
      <x:c r="G4" s="24" t="n">
        <x:f>F4/E4</x:f>
        <x:v>0.259275488</x:v>
      </x:c>
      <x:c r="H4" s="26" t="n">
        <x:f>F4/C4</x:f>
        <x:v>23725.795021961934</x:v>
      </x:c>
    </x:row>
    <x:row r="5">
      <x:c r="A5" t="n">
        <x:v>2020</x:v>
      </x:c>
      <x:c r="B5" t="n">
        <x:v>1696</x:v>
      </x:c>
      <x:c r="C5" t="n">
        <x:v>529</x:v>
      </x:c>
      <x:c r="D5" s="24" t="n">
        <x:f>C5/B5</x:f>
        <x:v>0.3119103773584906</x:v>
      </x:c>
      <x:c r="E5" s="26" t="n">
        <x:v>58500000</x:v>
      </x:c>
      <x:c r="F5" s="26" t="n">
        <x:v>13162500</x:v>
      </x:c>
      <x:c r="G5" s="24" t="n">
        <x:f>F5/E5</x:f>
        <x:v>0.225</x:v>
      </x:c>
      <x:c r="H5" s="26" t="n">
        <x:f>F5/C5</x:f>
        <x:v>24881.852551984877</x:v>
      </x:c>
    </x:row>
    <x:row r="6">
      <x:c r="A6" t="n">
        <x:v>2021</x:v>
      </x:c>
      <x:c r="B6" t="n">
        <x:v>1957</x:v>
      </x:c>
      <x:c r="C6" t="n">
        <x:v>681</x:v>
      </x:c>
      <x:c r="D6" s="24" t="n">
        <x:f>C6/B6</x:f>
        <x:v>0.3479816044966786</x:v>
      </x:c>
      <x:c r="E6" s="26" t="n">
        <x:v>67600000</x:v>
      </x:c>
      <x:c r="F6" s="26" t="n">
        <x:v>17576000</x:v>
      </x:c>
      <x:c r="G6" s="24" t="n">
        <x:f>F6/E6</x:f>
        <x:v>0.26</x:v>
      </x:c>
      <x:c r="H6" s="26" t="n">
        <x:f>F6/C6</x:f>
        <x:v>25809.104258443465</x:v>
      </x:c>
    </x:row>
    <x:row r="7">
      <x:c r="A7" t="n">
        <x:v>2022</x:v>
      </x:c>
      <x:c r="B7" t="n">
        <x:v>2008</x:v>
      </x:c>
      <x:c r="C7" t="n">
        <x:v>713</x:v>
      </x:c>
      <x:c r="D7" s="24" t="n">
        <x:f>C7/B7</x:f>
        <x:v>0.3550796812749004</x:v>
      </x:c>
      <x:c r="E7" s="26" t="n">
        <x:v>76800000</x:v>
      </x:c>
      <x:c r="F7" s="26" t="n">
        <x:v>18278400</x:v>
      </x:c>
      <x:c r="G7" s="24" t="n">
        <x:f>F7/E7</x:f>
        <x:v>0.238</x:v>
      </x:c>
      <x:c r="H7" s="26" t="n">
        <x:f>F7/C7</x:f>
        <x:v>25635.904628330994</x:v>
      </x:c>
    </x:row>
    <x:row r="8">
      <x:c r="A8" t="n">
        <x:v>2023</x:v>
      </x:c>
      <x:c r="B8" t="n">
        <x:v>2036</x:v>
      </x:c>
      <x:c r="C8" t="n">
        <x:v>727</x:v>
      </x:c>
      <x:c r="D8" s="24" t="n">
        <x:f>C8/B8</x:f>
        <x:v>0.3570726915520629</x:v>
      </x:c>
      <x:c r="E8" s="26" t="n">
        <x:v>86200000</x:v>
      </x:c>
      <x:c r="F8" s="26" t="n">
        <x:v>21491851</x:v>
      </x:c>
      <x:c r="G8" s="24" t="n">
        <x:f>F8/E8</x:f>
        <x:v>0.24932541763341068</x:v>
      </x:c>
      <x:c r="H8" s="26" t="n">
        <x:f>F8/C8</x:f>
        <x:v>29562.381017881704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494dcbd0863f45e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8" customHeight="1">
      <x:c r="A1" s="5" t="str">
        <x:v>FRED/BEA-Style Regional Economic Context Sample</x:v>
      </x:c>
    </x:row>
    <x:row r="3">
      <x:c r="A3" s="19" t="str">
        <x:v>Year</x:v>
      </x:c>
      <x:c r="B3" s="19" t="str">
        <x:v>Custer Personal Income ($M)</x:v>
      </x:c>
      <x:c r="C3" s="19" t="str">
        <x:v>Custer Population</x:v>
      </x:c>
      <x:c r="D3" s="19" t="str">
        <x:v>Custer Per-Capita Income</x:v>
      </x:c>
      <x:c r="E3" s="19" t="str">
        <x:v>Benchmark Tourism Employment Share</x:v>
      </x:c>
      <x:c r="F3" s="19" t="str">
        <x:v>Benchmark Wage Share</x:v>
      </x:c>
      <x:c r="G3" s="19" t="str">
        <x:v>Taxable Sales Index</x:v>
      </x:c>
      <x:c r="H3" s="19" t="str">
        <x:v>Lodging Capacity Index</x:v>
      </x:c>
    </x:row>
    <x:row r="4">
      <x:c r="A4" t="n">
        <x:v>2019</x:v>
      </x:c>
      <x:c r="B4" t="n">
        <x:v>355</x:v>
      </x:c>
      <x:c r="C4" t="n">
        <x:v>8500</x:v>
      </x:c>
      <x:c r="D4" s="26" t="n">
        <x:f>B4*1000000/C4</x:f>
        <x:v>41764.705882352944</x:v>
      </x:c>
      <x:c r="E4" s="24" t="n">
        <x:v>0.285</x:v>
      </x:c>
      <x:c r="F4" s="24" t="n">
        <x:v>0.205</x:v>
      </x:c>
      <x:c r="G4" s="28" t="n">
        <x:v>100</x:v>
      </x:c>
      <x:c r="H4" s="28" t="n">
        <x:v>100</x:v>
      </x:c>
    </x:row>
    <x:row r="5">
      <x:c r="A5" t="n">
        <x:v>2020</x:v>
      </x:c>
      <x:c r="B5" t="n">
        <x:v>342.5</x:v>
      </x:c>
      <x:c r="C5" t="n">
        <x:v>8480</x:v>
      </x:c>
      <x:c r="D5" s="26" t="n">
        <x:f>B5*1000000/C5</x:f>
        <x:v>40389.15094339623</x:v>
      </x:c>
      <x:c r="E5" s="24" t="n">
        <x:v>0.245</x:v>
      </x:c>
      <x:c r="F5" s="24" t="n">
        <x:v>0.188</x:v>
      </x:c>
      <x:c r="G5" s="28" t="n">
        <x:v>86</x:v>
      </x:c>
      <x:c r="H5" s="28" t="n">
        <x:v>96</x:v>
      </x:c>
    </x:row>
    <x:row r="6">
      <x:c r="A6" t="n">
        <x:v>2021</x:v>
      </x:c>
      <x:c r="B6" t="n">
        <x:v>371.2</x:v>
      </x:c>
      <x:c r="C6" t="n">
        <x:v>8525</x:v>
      </x:c>
      <x:c r="D6" s="26" t="n">
        <x:f>B6*1000000/C6</x:f>
        <x:v>43542.5219941349</x:v>
      </x:c>
      <x:c r="E6" s="24" t="n">
        <x:v>0.268</x:v>
      </x:c>
      <x:c r="F6" s="24" t="n">
        <x:v>0.196</x:v>
      </x:c>
      <x:c r="G6" s="28" t="n">
        <x:v>108</x:v>
      </x:c>
      <x:c r="H6" s="28" t="n">
        <x:v>101</x:v>
      </x:c>
    </x:row>
    <x:row r="7">
      <x:c r="A7" t="n">
        <x:v>2022</x:v>
      </x:c>
      <x:c r="B7" t="n">
        <x:v>392.6</x:v>
      </x:c>
      <x:c r="C7" t="n">
        <x:v>8560</x:v>
      </x:c>
      <x:c r="D7" s="26" t="n">
        <x:f>B7*1000000/C7</x:f>
        <x:v>45864.48598130841</x:v>
      </x:c>
      <x:c r="E7" s="24" t="n">
        <x:v>0.276</x:v>
      </x:c>
      <x:c r="F7" s="24" t="n">
        <x:v>0.202</x:v>
      </x:c>
      <x:c r="G7" s="28" t="n">
        <x:v>117</x:v>
      </x:c>
      <x:c r="H7" s="28" t="n">
        <x:v>106</x:v>
      </x:c>
    </x:row>
    <x:row r="8">
      <x:c r="A8" t="n">
        <x:v>2023</x:v>
      </x:c>
      <x:c r="B8" t="n">
        <x:v>414.1</x:v>
      </x:c>
      <x:c r="C8" t="n">
        <x:v>8605</x:v>
      </x:c>
      <x:c r="D8" s="26" t="n">
        <x:f>B8*1000000/C8</x:f>
        <x:v>48123.18419523533</x:v>
      </x:c>
      <x:c r="E8" s="24" t="n">
        <x:v>0.282</x:v>
      </x:c>
      <x:c r="F8" s="24" t="n">
        <x:v>0.207</x:v>
      </x:c>
      <x:c r="G8" s="28" t="n">
        <x:v>124</x:v>
      </x:c>
      <x:c r="H8" s="28" t="n">
        <x:v>110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764989a2c53848c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55" hidden="0" customWidth="1"/>
  </x:cols>
  <x:sheetData>
    <x:row r="1" ht="28" customHeight="1">
      <x:c r="A1" s="5" t="str">
        <x:v>Analysis Summary and Dashboard Inputs</x:v>
      </x:c>
    </x:row>
    <x:row r="3">
      <x:c r="A3" s="19" t="str">
        <x:v>Metric</x:v>
      </x:c>
      <x:c r="B3" s="19" t="str">
        <x:v>2019</x:v>
      </x:c>
      <x:c r="C3" s="19" t="str">
        <x:v>2023</x:v>
      </x:c>
      <x:c r="D3" s="19" t="str">
        <x:v>Change</x:v>
      </x:c>
      <x:c r="E3" s="19" t="str">
        <x:v>Formula Logic</x:v>
      </x:c>
      <x:c r="F3" s="19" t="str">
        <x:v>Interpretation</x:v>
      </x:c>
    </x:row>
    <x:row r="4">
      <x:c r="A4" s="14" t="str">
        <x:v>Tourism employment share</x:v>
      </x:c>
      <x:c r="B4" s="32" t="n">
        <x:f>QCEW_Tourism_Sample!D4</x:f>
        <x:v>0.36291179596174283</x:v>
      </x:c>
      <x:c r="C4" s="32" t="n">
        <x:f>QCEW_Tourism_Sample!D8</x:f>
        <x:v>0.3570726915520629</x:v>
      </x:c>
      <x:c r="D4" s="32" t="n">
        <x:f>C4/B4-1</x:f>
        <x:v>-0.01608959663106535</x:v>
      </x:c>
      <x:c r="E4" s="14" t="str">
        <x:v>QCEW tourism employment / total employment</x:v>
      </x:c>
      <x:c r="F4" s="14" t="str">
        <x:v>Tourism represents roughly one-third of county employment in this demo sample.</x:v>
      </x:c>
    </x:row>
    <x:row r="5">
      <x:c r="A5" s="14" t="str">
        <x:v>Tourism wage share</x:v>
      </x:c>
      <x:c r="B5" s="32" t="n">
        <x:f>QCEW_Tourism_Sample!G4</x:f>
        <x:v>0.259275488</x:v>
      </x:c>
      <x:c r="C5" s="32" t="n">
        <x:f>QCEW_Tourism_Sample!G8</x:f>
        <x:v>0.24932541763341068</x:v>
      </x:c>
      <x:c r="D5" s="32" t="n">
        <x:f>C5/B5-1</x:f>
        <x:v>-0.038376440608953066</x:v>
      </x:c>
      <x:c r="E5" s="14" t="str">
        <x:v>QCEW tourism wages / total wages</x:v>
      </x:c>
      <x:c r="F5" s="14" t="str">
        <x:v>Tourism wage share is lower than employment share, suggesting lower average wages in tourism-heavy sectors.</x:v>
      </x:c>
    </x:row>
    <x:row r="6">
      <x:c r="A6" s="14" t="str">
        <x:v>Tourism employment</x:v>
      </x:c>
      <x:c r="B6" s="33" t="n">
        <x:f>QCEW_Tourism_Sample!C4</x:f>
        <x:v>683</x:v>
      </x:c>
      <x:c r="C6" s="33" t="n">
        <x:f>QCEW_Tourism_Sample!C8</x:f>
        <x:v>727</x:v>
      </x:c>
      <x:c r="D6" s="32" t="n">
        <x:f>C6/B6-1</x:f>
        <x:v>0.0644216691068813</x:v>
      </x:c>
      <x:c r="E6" s="14" t="str">
        <x:v>Tourism-sector employment count</x:v>
      </x:c>
      <x:c r="F6" s="14" t="str">
        <x:v>Tourism employment rebounded after the 2020 disruption.</x:v>
      </x:c>
    </x:row>
    <x:row r="7">
      <x:c r="A7" s="14" t="str">
        <x:v>Tourism wages</x:v>
      </x:c>
      <x:c r="B7" s="34" t="n">
        <x:f>QCEW_Tourism_Sample!F4</x:f>
        <x:v>16204718</x:v>
      </x:c>
      <x:c r="C7" s="34" t="n">
        <x:f>QCEW_Tourism_Sample!F8</x:f>
        <x:v>21491851</x:v>
      </x:c>
      <x:c r="D7" s="32" t="n">
        <x:f>C7/B7-1</x:f>
        <x:v>0.3262712131121319</x:v>
      </x:c>
      <x:c r="E7" s="14" t="str">
        <x:v>Tourism-sector wage total</x:v>
      </x:c>
      <x:c r="F7" s="14" t="str">
        <x:v>Nominal tourism wages rose by 2023 in this cleaned demo sample.</x:v>
      </x:c>
    </x:row>
    <x:row r="8">
      <x:c r="A8" s="14" t="str">
        <x:v>Taxable sales index</x:v>
      </x:c>
      <x:c r="B8" s="35" t="n">
        <x:f>FRED_BEA_Sample!G4</x:f>
        <x:v>100</x:v>
      </x:c>
      <x:c r="C8" s="35" t="n">
        <x:f>FRED_BEA_Sample!G8</x:f>
        <x:v>124</x:v>
      </x:c>
      <x:c r="D8" s="32" t="n">
        <x:f>C8/B8-1</x:f>
        <x:v>0.24</x:v>
      </x:c>
      <x:c r="E8" s="14" t="str">
        <x:v>Indexed public sales indicator</x:v>
      </x:c>
      <x:c r="F8" s="14" t="str">
        <x:v>Sales activity recovered above the 2019 baseline in the illustrative public-data workflow.</x:v>
      </x:c>
    </x:row>
    <x:row r="9">
      <x:c r="A9" s="14" t="str">
        <x:v>Lodging capacity index</x:v>
      </x:c>
      <x:c r="B9" s="35" t="n">
        <x:f>FRED_BEA_Sample!H4</x:f>
        <x:v>100</x:v>
      </x:c>
      <x:c r="C9" s="35" t="n">
        <x:f>FRED_BEA_Sample!H8</x:f>
        <x:v>110</x:v>
      </x:c>
      <x:c r="D9" s="32" t="n">
        <x:f>C9/B9-1</x:f>
        <x:v>0.10000000000000009</x:v>
      </x:c>
      <x:c r="E9" s="14" t="str">
        <x:v>Indexed lodging capacity indicator</x:v>
      </x:c>
      <x:c r="F9" s="14" t="str">
        <x:v>Capacity expanded modestly over the period in the demo series.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8a98649926a44b5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28" customHeight="1">
      <x:c r="A1" s="5" t="str">
        <x:v>Custer County Tourism Economy: Public Data Workflow Dashboard</x:v>
      </x:c>
    </x:row>
    <x:row r="3">
      <x:c r="A3" s="19" t="str">
        <x:v>KPI</x:v>
      </x:c>
      <x:c r="B3" s="19" t="str">
        <x:v>2019</x:v>
      </x:c>
      <x:c r="C3" s="19" t="str">
        <x:v>2023</x:v>
      </x:c>
      <x:c r="D3" s="19" t="str">
        <x:v>Change</x:v>
      </x:c>
    </x:row>
    <x:row r="4">
      <x:c r="A4" s="41" t="str">
        <x:f>Analysis_Summary!A4</x:f>
        <x:v>Tourism employment share</x:v>
      </x:c>
      <x:c r="B4" s="24" t="n">
        <x:f>Analysis_Summary!B4</x:f>
        <x:v>0.36291179596174283</x:v>
      </x:c>
      <x:c r="C4" s="24" t="n">
        <x:f>Analysis_Summary!C4</x:f>
        <x:v>0.3570726915520629</x:v>
      </x:c>
      <x:c r="D4" s="24" t="n">
        <x:f>Analysis_Summary!D4</x:f>
        <x:v>-0.01608959663106535</x:v>
      </x:c>
    </x:row>
    <x:row r="5">
      <x:c r="A5" s="41" t="str">
        <x:f>Analysis_Summary!A5</x:f>
        <x:v>Tourism wage share</x:v>
      </x:c>
      <x:c r="B5" s="24" t="n">
        <x:f>Analysis_Summary!B5</x:f>
        <x:v>0.259275488</x:v>
      </x:c>
      <x:c r="C5" s="24" t="n">
        <x:f>Analysis_Summary!C5</x:f>
        <x:v>0.24932541763341068</x:v>
      </x:c>
      <x:c r="D5" s="24" t="n">
        <x:f>Analysis_Summary!D5</x:f>
        <x:v>-0.038376440608953066</x:v>
      </x:c>
    </x:row>
    <x:row r="6">
      <x:c r="A6" s="41" t="str">
        <x:f>Analysis_Summary!A6</x:f>
        <x:v>Tourism employment</x:v>
      </x:c>
      <x:c r="B6" s="30" t="n">
        <x:f>Analysis_Summary!B6</x:f>
        <x:v>683</x:v>
      </x:c>
      <x:c r="C6" s="30" t="n">
        <x:f>Analysis_Summary!C6</x:f>
        <x:v>727</x:v>
      </x:c>
      <x:c r="D6" s="24" t="n">
        <x:f>Analysis_Summary!D6</x:f>
        <x:v>0.0644216691068813</x:v>
      </x:c>
    </x:row>
    <x:row r="7">
      <x:c r="A7" s="41" t="str">
        <x:f>Analysis_Summary!A7</x:f>
        <x:v>Tourism wages</x:v>
      </x:c>
      <x:c r="B7" s="26" t="n">
        <x:f>Analysis_Summary!B7</x:f>
        <x:v>16204718</x:v>
      </x:c>
      <x:c r="C7" s="26" t="n">
        <x:f>Analysis_Summary!C7</x:f>
        <x:v>21491851</x:v>
      </x:c>
      <x:c r="D7" s="24" t="n">
        <x:f>Analysis_Summary!D7</x:f>
        <x:v>0.3262712131121319</x:v>
      </x:c>
    </x:row>
    <x:row r="8">
      <x:c r="A8" s="41" t="str">
        <x:f>Analysis_Summary!A8</x:f>
        <x:v>Taxable sales index</x:v>
      </x:c>
      <x:c r="B8" s="28" t="n">
        <x:f>Analysis_Summary!B8</x:f>
        <x:v>100</x:v>
      </x:c>
      <x:c r="C8" s="28" t="n">
        <x:f>Analysis_Summary!C8</x:f>
        <x:v>124</x:v>
      </x:c>
      <x:c r="D8" s="24" t="n">
        <x:f>Analysis_Summary!D8</x:f>
        <x:v>0.24</x:v>
      </x:c>
    </x:row>
    <x:row r="9">
      <x:c r="A9" s="41" t="str">
        <x:f>Analysis_Summary!A9</x:f>
        <x:v>Lodging capacity index</x:v>
      </x:c>
      <x:c r="B9" s="28" t="n">
        <x:f>Analysis_Summary!B9</x:f>
        <x:v>100</x:v>
      </x:c>
      <x:c r="C9" s="28" t="n">
        <x:f>Analysis_Summary!C9</x:f>
        <x:v>110</x:v>
      </x:c>
      <x:c r="D9" s="24" t="n">
        <x:f>Analysis_Summary!D9</x:f>
        <x:v>0.10000000000000009</x:v>
      </x:c>
    </x:row>
    <x:row r="12">
      <x:c r="A12" s="19" t="str">
        <x:v>Year</x:v>
      </x:c>
      <x:c r="B12" s="19" t="str">
        <x:v>Tourism Employment Share</x:v>
      </x:c>
      <x:c r="C12" s="19" t="str">
        <x:v>Tourism Wage Share</x:v>
      </x:c>
      <x:c r="D12" s="19" t="str">
        <x:v>Tourism Employment</x:v>
      </x:c>
      <x:c r="E12" s="19" t="str">
        <x:v>Benchmark Tourism Employment Share</x:v>
      </x:c>
      <x:c r="F12" s="19" t="str">
        <x:v>Taxable Sales Index</x:v>
      </x:c>
    </x:row>
    <x:row r="13">
      <x:c r="A13" t="n">
        <x:f>QCEW_Tourism_Sample!A4</x:f>
        <x:v>2019</x:v>
      </x:c>
      <x:c r="B13" s="24" t="n">
        <x:f>QCEW_Tourism_Sample!D4</x:f>
        <x:v>0.36291179596174283</x:v>
      </x:c>
      <x:c r="C13" s="24" t="n">
        <x:f>QCEW_Tourism_Sample!G4</x:f>
        <x:v>0.259275488</x:v>
      </x:c>
      <x:c r="D13" s="30" t="n">
        <x:f>QCEW_Tourism_Sample!C4</x:f>
        <x:v>683</x:v>
      </x:c>
      <x:c r="E13" s="24" t="n">
        <x:f>FRED_BEA_Sample!E4</x:f>
        <x:v>0.285</x:v>
      </x:c>
      <x:c r="F13" s="28" t="n">
        <x:f>FRED_BEA_Sample!G4</x:f>
        <x:v>100</x:v>
      </x:c>
    </x:row>
    <x:row r="14">
      <x:c r="A14" t="n">
        <x:f>QCEW_Tourism_Sample!A5</x:f>
        <x:v>2020</x:v>
      </x:c>
      <x:c r="B14" s="24" t="n">
        <x:f>QCEW_Tourism_Sample!D5</x:f>
        <x:v>0.3119103773584906</x:v>
      </x:c>
      <x:c r="C14" s="24" t="n">
        <x:f>QCEW_Tourism_Sample!G5</x:f>
        <x:v>0.225</x:v>
      </x:c>
      <x:c r="D14" s="30" t="n">
        <x:f>QCEW_Tourism_Sample!C5</x:f>
        <x:v>529</x:v>
      </x:c>
      <x:c r="E14" s="24" t="n">
        <x:f>FRED_BEA_Sample!E5</x:f>
        <x:v>0.245</x:v>
      </x:c>
      <x:c r="F14" s="28" t="n">
        <x:f>FRED_BEA_Sample!G5</x:f>
        <x:v>86</x:v>
      </x:c>
    </x:row>
    <x:row r="15">
      <x:c r="A15" t="n">
        <x:f>QCEW_Tourism_Sample!A6</x:f>
        <x:v>2021</x:v>
      </x:c>
      <x:c r="B15" s="24" t="n">
        <x:f>QCEW_Tourism_Sample!D6</x:f>
        <x:v>0.3479816044966786</x:v>
      </x:c>
      <x:c r="C15" s="24" t="n">
        <x:f>QCEW_Tourism_Sample!G6</x:f>
        <x:v>0.26</x:v>
      </x:c>
      <x:c r="D15" s="30" t="n">
        <x:f>QCEW_Tourism_Sample!C6</x:f>
        <x:v>681</x:v>
      </x:c>
      <x:c r="E15" s="24" t="n">
        <x:f>FRED_BEA_Sample!E6</x:f>
        <x:v>0.268</x:v>
      </x:c>
      <x:c r="F15" s="28" t="n">
        <x:f>FRED_BEA_Sample!G6</x:f>
        <x:v>108</x:v>
      </x:c>
    </x:row>
    <x:row r="16">
      <x:c r="A16" t="n">
        <x:f>QCEW_Tourism_Sample!A7</x:f>
        <x:v>2022</x:v>
      </x:c>
      <x:c r="B16" s="24" t="n">
        <x:f>QCEW_Tourism_Sample!D7</x:f>
        <x:v>0.3550796812749004</x:v>
      </x:c>
      <x:c r="C16" s="24" t="n">
        <x:f>QCEW_Tourism_Sample!G7</x:f>
        <x:v>0.238</x:v>
      </x:c>
      <x:c r="D16" s="30" t="n">
        <x:f>QCEW_Tourism_Sample!C7</x:f>
        <x:v>713</x:v>
      </x:c>
      <x:c r="E16" s="24" t="n">
        <x:f>FRED_BEA_Sample!E7</x:f>
        <x:v>0.276</x:v>
      </x:c>
      <x:c r="F16" s="28" t="n">
        <x:f>FRED_BEA_Sample!G7</x:f>
        <x:v>117</x:v>
      </x:c>
    </x:row>
    <x:row r="17">
      <x:c r="A17" t="n">
        <x:f>QCEW_Tourism_Sample!A8</x:f>
        <x:v>2023</x:v>
      </x:c>
      <x:c r="B17" s="24" t="n">
        <x:f>QCEW_Tourism_Sample!D8</x:f>
        <x:v>0.3570726915520629</x:v>
      </x:c>
      <x:c r="C17" s="24" t="n">
        <x:f>QCEW_Tourism_Sample!G8</x:f>
        <x:v>0.24932541763341068</x:v>
      </x:c>
      <x:c r="D17" s="30" t="n">
        <x:f>QCEW_Tourism_Sample!C8</x:f>
        <x:v>727</x:v>
      </x:c>
      <x:c r="E17" s="24" t="n">
        <x:f>FRED_BEA_Sample!E8</x:f>
        <x:v>0.282</x:v>
      </x:c>
      <x:c r="F17" s="28" t="n">
        <x:f>FRED_BEA_Sample!G8</x:f>
        <x:v>124</x:v>
      </x:c>
    </x:row>
    <x:row r="20">
      <x:c r="A20" s="16" t="str">
        <x:v>Dashboard note</x:v>
      </x:c>
    </x:row>
    <x:row r="21" ht="55" customHeight="1">
      <x:c r="A21" s="14" t="str">
        <x:v>This page is a cleaned public-portfolio demonstration of the Custer tourism data workflow. The first chart shows tourism employment and wage shares over time. The second chart now uses populated year-by-year values for both Custer and a benchmark series, replacing the earlier empty placeholder graph.</x:v>
      </x:c>
    </x:row>
    <x:row r="22">
      <x:c r="A22" s="14" t="str"/>
    </x:row>
    <x:row r="23">
      <x:c r="A23" s="17" t="str">
        <x:v>Interpretation</x:v>
      </x:c>
    </x:row>
    <x:row r="24" ht="65" customHeight="1">
      <x:c r="A24" s="14" t="str">
        <x:v>Tourism remains a substantial part of the local employment base. Wage shares are lower than employment shares, suggesting that tourism-heavy sectors contribute strongly to employment while often paying lower average wages than the full county economy.</x:v>
      </x:c>
    </x:row>
    <x:row r="25">
      <x:c r="A25" t="str"/>
    </x:row>
  </x:sheetData>
  <x:mergeCells>
    <x:mergeCell ref="A1:K1"/>
    <x:mergeCell ref="A20:F20"/>
    <x:mergeCell ref="A21:F21"/>
    <x:mergeCell ref="A23:F23"/>
    <x:mergeCell ref="A24:F24"/>
  </x:mergeCells>
  <x:pageMargins left="0.7" right="0.7" top="0.75" bottom="0.75" header="0.3" footer="0.3"/>
  <x:drawing xmlns:r="http://schemas.openxmlformats.org/officeDocument/2006/relationships" r:id="Rabf1554f3ded4f55"/>
</x:worksheet>
</file>